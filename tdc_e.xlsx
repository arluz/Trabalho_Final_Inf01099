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erson\Desktop\26-1\DAW\"/>
    </mc:Choice>
  </mc:AlternateContent>
  <bookViews>
    <workbookView xWindow="0" yWindow="0" windowWidth="28800" windowHeight="12330"/>
  </bookViews>
  <sheets>
    <sheet name="Disciplinas" sheetId="1" r:id="rId1"/>
    <sheet name="Pré-requisitos" sheetId="2" r:id="rId2"/>
    <sheet name="Mapeamento para Departamentos" sheetId="3" r:id="rId3"/>
    <sheet name="Conteúdos Essencial 1 Não Aloca" sheetId="4" r:id="rId4"/>
    <sheet name="Conteúdos Consolidados" sheetId="5" r:id="rId5"/>
    <sheet name="Habilidades Consolidadas" sheetId="6" r:id="rId6"/>
    <sheet name="Conteúdos IntrodutóriosTransver" sheetId="7" r:id="rId7"/>
    <sheet name="Áreas" sheetId="8" r:id="rId8"/>
    <sheet name="Disciplinas-old" sheetId="9" r:id="rId9"/>
    <sheet name="Disciplinas-Obrigatórias" sheetId="10" r:id="rId10"/>
  </sheets>
  <definedNames>
    <definedName name="_xlnm._FilterDatabase" localSheetId="3" hidden="1">'Conteúdos Essencial 1 Não Aloca'!$A$1:$H$115</definedName>
    <definedName name="_xlnm._FilterDatabase" localSheetId="2" hidden="1">'Mapeamento para Departamentos'!$A$1:$F$71</definedName>
    <definedName name="Z_19CD10D7_310B_4C3A_994F_C08349CC898A_.wvu.FilterData" localSheetId="2" hidden="1">'Mapeamento para Departamentos'!$A$1:$F$71</definedName>
    <definedName name="Z_4E6A1557_6773_4502_882E_9010BDEFD330_.wvu.FilterData" localSheetId="2" hidden="1">'Mapeamento para Departamentos'!$A$1:$F$71</definedName>
  </definedNames>
  <calcPr calcId="162913"/>
  <customWorkbookViews>
    <customWorkbookView name="Agrupar por etapa" guid="{19CD10D7-310B-4C3A-994F-C08349CC898A}" maximized="1" windowWidth="0" windowHeight="0" activeSheetId="0"/>
    <customWorkbookView name="Agrupar por departamento" guid="{4E6A1557-6773-4502-882E-9010BDEFD330}" maximized="1" windowWidth="0" windowHeight="0" activeSheetId="0"/>
  </customWorkbookViews>
</workbook>
</file>

<file path=xl/calcChain.xml><?xml version="1.0" encoding="utf-8"?>
<calcChain xmlns="http://schemas.openxmlformats.org/spreadsheetml/2006/main">
  <c r="K75" i="3" l="1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F69" i="3" s="1"/>
  <c r="F73" i="1"/>
  <c r="H71" i="1"/>
  <c r="K71" i="1" s="1"/>
  <c r="F71" i="1"/>
  <c r="I67" i="1"/>
  <c r="H67" i="1"/>
  <c r="J67" i="1" s="1"/>
  <c r="I66" i="1"/>
  <c r="H66" i="1"/>
  <c r="J66" i="1" s="1"/>
  <c r="I65" i="1"/>
  <c r="H65" i="1"/>
  <c r="J65" i="1" s="1"/>
  <c r="I64" i="1"/>
  <c r="H64" i="1"/>
  <c r="J64" i="1" s="1"/>
  <c r="I63" i="1"/>
  <c r="H63" i="1"/>
  <c r="J63" i="1" s="1"/>
  <c r="I62" i="1"/>
  <c r="H62" i="1"/>
  <c r="J62" i="1" s="1"/>
  <c r="I61" i="1"/>
  <c r="H61" i="1"/>
  <c r="J61" i="1" s="1"/>
  <c r="I60" i="1"/>
  <c r="H60" i="1"/>
  <c r="J60" i="1" s="1"/>
  <c r="I59" i="1"/>
  <c r="H59" i="1"/>
  <c r="J59" i="1" s="1"/>
  <c r="I58" i="1"/>
  <c r="H58" i="1"/>
  <c r="H70" i="1" s="1"/>
  <c r="J51" i="3"/>
  <c r="J61" i="3"/>
  <c r="J53" i="3"/>
  <c r="J48" i="3"/>
  <c r="J23" i="3"/>
  <c r="J69" i="3"/>
  <c r="J5" i="3"/>
  <c r="J27" i="3"/>
  <c r="J43" i="3"/>
  <c r="J58" i="3"/>
  <c r="J10" i="3"/>
  <c r="J19" i="3"/>
  <c r="J66" i="3"/>
  <c r="J68" i="3"/>
  <c r="J31" i="3"/>
  <c r="J60" i="3"/>
  <c r="J24" i="3"/>
  <c r="J46" i="3"/>
  <c r="J8" i="3"/>
  <c r="J47" i="3"/>
  <c r="J12" i="3"/>
  <c r="J13" i="3"/>
  <c r="J32" i="3"/>
  <c r="J40" i="3"/>
  <c r="J35" i="3"/>
  <c r="J34" i="3"/>
  <c r="J73" i="3"/>
  <c r="J41" i="3"/>
  <c r="J6" i="3"/>
  <c r="J63" i="3"/>
  <c r="J17" i="3"/>
  <c r="J20" i="3"/>
  <c r="J29" i="3"/>
  <c r="J70" i="3"/>
  <c r="J74" i="3"/>
  <c r="J11" i="3"/>
  <c r="J37" i="3"/>
  <c r="J67" i="3"/>
  <c r="J9" i="3"/>
  <c r="J71" i="3"/>
  <c r="J33" i="3"/>
  <c r="J39" i="3"/>
  <c r="J18" i="3"/>
  <c r="J56" i="3"/>
  <c r="J45" i="3"/>
  <c r="J54" i="3"/>
  <c r="J44" i="3"/>
  <c r="J36" i="3"/>
  <c r="J30" i="3"/>
  <c r="J65" i="3"/>
  <c r="J15" i="3"/>
  <c r="J25" i="3"/>
  <c r="J52" i="3"/>
  <c r="J7" i="3"/>
  <c r="J28" i="3"/>
  <c r="J57" i="3"/>
  <c r="J42" i="3"/>
  <c r="J55" i="3"/>
  <c r="J75" i="3"/>
  <c r="J49" i="3"/>
  <c r="J21" i="3"/>
  <c r="J72" i="3"/>
  <c r="J59" i="3"/>
  <c r="J26" i="3"/>
  <c r="J22" i="3"/>
  <c r="J38" i="3"/>
  <c r="J64" i="3"/>
  <c r="J14" i="3"/>
  <c r="J16" i="3"/>
  <c r="J62" i="3"/>
  <c r="J50" i="3"/>
  <c r="F58" i="3" l="1"/>
  <c r="F46" i="3"/>
  <c r="H72" i="1"/>
  <c r="H73" i="1" s="1"/>
  <c r="I70" i="1"/>
  <c r="F16" i="3"/>
  <c r="F32" i="3"/>
  <c r="F48" i="3"/>
  <c r="F64" i="3"/>
  <c r="F11" i="3"/>
  <c r="F27" i="3"/>
  <c r="F43" i="3"/>
  <c r="F59" i="3"/>
  <c r="F6" i="3"/>
  <c r="F22" i="3"/>
  <c r="F38" i="3"/>
  <c r="F54" i="3"/>
  <c r="F70" i="3"/>
  <c r="I71" i="1"/>
  <c r="F17" i="3"/>
  <c r="F33" i="3"/>
  <c r="F49" i="3"/>
  <c r="F65" i="3"/>
  <c r="F12" i="3"/>
  <c r="F28" i="3"/>
  <c r="F44" i="3"/>
  <c r="F60" i="3"/>
  <c r="F7" i="3"/>
  <c r="F23" i="3"/>
  <c r="F39" i="3"/>
  <c r="F55" i="3"/>
  <c r="F71" i="3"/>
  <c r="F18" i="3"/>
  <c r="F34" i="3"/>
  <c r="F50" i="3"/>
  <c r="F66" i="3"/>
  <c r="F13" i="3"/>
  <c r="F29" i="3"/>
  <c r="F45" i="3"/>
  <c r="F61" i="3"/>
  <c r="H75" i="1"/>
  <c r="F8" i="3"/>
  <c r="F24" i="3"/>
  <c r="F40" i="3"/>
  <c r="F56" i="3"/>
  <c r="F19" i="3"/>
  <c r="F35" i="3"/>
  <c r="F51" i="3"/>
  <c r="F67" i="3"/>
  <c r="F14" i="3"/>
  <c r="F30" i="3"/>
  <c r="F62" i="3"/>
  <c r="F9" i="3"/>
  <c r="F25" i="3"/>
  <c r="F41" i="3"/>
  <c r="F57" i="3"/>
  <c r="F2" i="3"/>
  <c r="F20" i="3"/>
  <c r="F36" i="3"/>
  <c r="F52" i="3"/>
  <c r="F68" i="3"/>
  <c r="J58" i="1"/>
  <c r="F3" i="3"/>
  <c r="F15" i="3"/>
  <c r="F31" i="3"/>
  <c r="F47" i="3"/>
  <c r="F63" i="3"/>
  <c r="F10" i="3"/>
  <c r="F26" i="3"/>
  <c r="F42" i="3"/>
  <c r="F4" i="3"/>
  <c r="F5" i="3"/>
  <c r="F21" i="3"/>
  <c r="F37" i="3"/>
  <c r="F53" i="3"/>
  <c r="H76" i="1" l="1"/>
  <c r="I76" i="1" s="1"/>
  <c r="I75" i="1"/>
</calcChain>
</file>

<file path=xl/comments1.xml><?xml version="1.0" encoding="utf-8"?>
<comments xmlns="http://schemas.openxmlformats.org/spreadsheetml/2006/main">
  <authors>
    <author/>
  </authors>
  <commentList>
    <comment ref="F60" authorId="0" shapeId="0">
      <text>
        <r>
          <rPr>
            <sz val="10"/>
            <color rgb="FF000000"/>
            <rFont val="Arial"/>
            <scheme val="minor"/>
          </rPr>
          <t>Notação Big-O; DFS, BFS, Dijkstra; tambem estruturas de dados (pq PAA depende de ED)</t>
        </r>
      </text>
    </comment>
    <comment ref="F61" authorId="0" shapeId="0">
      <text>
        <r>
          <rPr>
            <sz val="10"/>
            <color rgb="FF000000"/>
            <rFont val="Arial"/>
            <scheme val="minor"/>
          </rPr>
          <t>Valor esperado, Variaveis dependentes e independentes; Tambem derivadas (pq Prob depende de Calculo)</t>
        </r>
      </text>
    </comment>
    <comment ref="F62" authorId="0" shapeId="0">
      <text>
        <r>
          <rPr>
            <sz val="10"/>
            <color rgb="FF000000"/>
            <rFont val="Arial"/>
            <scheme val="minor"/>
          </rPr>
          <t>Busca dependeria de Classes de complexidade (P, NP, PSPACE)
(mas dá pra ensinar sem isso, e.g. explicando em termos de crescimento polinomial e exponencial)</t>
        </r>
      </text>
    </comment>
    <comment ref="F63" authorId="0" shapeId="0">
      <text>
        <r>
          <rPr>
            <sz val="10"/>
            <color rgb="FF000000"/>
            <rFont val="Arial"/>
            <scheme val="minor"/>
          </rPr>
          <t>Redes neurais dependeria de Multiplicação de matrizes  (mas dá pra ensinar redes neurais sem isso)</t>
        </r>
      </text>
    </comment>
    <comment ref="F64" authorId="0" shapeId="0">
      <text>
        <r>
          <rPr>
            <sz val="10"/>
            <color rgb="FF000000"/>
            <rFont val="Arial"/>
            <scheme val="minor"/>
          </rPr>
          <t>Apr. por reforço tem relação com Programação dinamica (mas dá pra ensinar sem isso)</t>
        </r>
      </text>
    </comment>
    <comment ref="F82" authorId="0" shapeId="0">
      <text>
        <r>
          <rPr>
            <sz val="10"/>
            <color rgb="FF000000"/>
            <rFont val="Arial"/>
            <scheme val="minor"/>
          </rPr>
          <t>Distribuição de probabilidades, desvio padrão, normalização, Valor esperado, variaveis dependentes e independentes</t>
        </r>
      </text>
    </comment>
    <comment ref="F83" authorId="0" shapeId="0">
      <text>
        <r>
          <rPr>
            <sz val="10"/>
            <color rgb="FF000000"/>
            <rFont val="Arial"/>
            <scheme val="minor"/>
          </rPr>
          <t>Notação Big-O; tambem estruturas de dados e noções sobre conjuntos e operações discretas (pq PAA depende de ED e MatDisc)</t>
        </r>
      </text>
    </comment>
  </commentList>
</comments>
</file>

<file path=xl/sharedStrings.xml><?xml version="1.0" encoding="utf-8"?>
<sst xmlns="http://schemas.openxmlformats.org/spreadsheetml/2006/main" count="6831" uniqueCount="2335">
  <si>
    <t>Esta coluna não vale mais!</t>
  </si>
  <si>
    <t>Preenchimento completo?</t>
  </si>
  <si>
    <t>Tipo</t>
  </si>
  <si>
    <t>Etapa</t>
  </si>
  <si>
    <t>Responsável</t>
  </si>
  <si>
    <t>Código</t>
  </si>
  <si>
    <t>Nome</t>
  </si>
  <si>
    <t>Carga Horária</t>
  </si>
  <si>
    <t>Conteúdos</t>
  </si>
  <si>
    <t>Habilidades</t>
  </si>
  <si>
    <t>Pré-requisitos (DEPRECATED)</t>
  </si>
  <si>
    <t>Link para Plano de Ensino</t>
  </si>
  <si>
    <t>Link para o Trello (onde informações adicionais sobre a disciplina podem ser compartilhadas)</t>
  </si>
  <si>
    <t>Observações</t>
  </si>
  <si>
    <t>Pré-requisitos-v1</t>
  </si>
  <si>
    <t>Total</t>
  </si>
  <si>
    <t>Trabalhos*</t>
  </si>
  <si>
    <t>DISCIPLINAS OBRIGATÓRIAS</t>
  </si>
  <si>
    <t>Pré-requisitos de disciplinas OBRIGATÓRIAS devem ser definidos na aba "Pré-requisitos"</t>
  </si>
  <si>
    <t>Obrigatória</t>
  </si>
  <si>
    <t>Leila (Lucas, Bruno, Lucio)</t>
  </si>
  <si>
    <t>PC</t>
  </si>
  <si>
    <t>Pensamento Computacional</t>
  </si>
  <si>
    <t>AL-016, AL-017, AL-018, AL-019, AL-020</t>
  </si>
  <si>
    <t>AL-H-001, AL-H-002, AL-H-003, AL-H-006</t>
  </si>
  <si>
    <t>-</t>
  </si>
  <si>
    <t>https://docs.google.com/document/d/1tZnWmY3rET3ckDKm-NU6RfC-7ZzKBbzIaAqS97gBZP8/edit</t>
  </si>
  <si>
    <t>https://trello.com/c/aqMnXlPb/1-pensamento-computacional</t>
  </si>
  <si>
    <t>Dennis</t>
  </si>
  <si>
    <t>ALP</t>
  </si>
  <si>
    <t>Algoritmos e Programação</t>
  </si>
  <si>
    <t>AL-001, AL-002, AL-003, AL-004, AL-005*, AL-006, AL-016</t>
  </si>
  <si>
    <t>AL-H-001, AL-H-002, AL-H-003*, AL-H-004</t>
  </si>
  <si>
    <t>https://docs.google.com/document/d/1CnyH6FlXTQeMXqPpcw8ZjWIwYipmGop73vA_oNeu5lo/edit?usp=sharing</t>
  </si>
  <si>
    <t>https://trello.com/c/Ju4e3Y6T/2-algoritmos-e-programa%C3%A7%C3%A3o</t>
  </si>
  <si>
    <t>* Recursão não inclusa</t>
  </si>
  <si>
    <t>GT-ADM</t>
  </si>
  <si>
    <t>IntroCIC</t>
  </si>
  <si>
    <t>Introdução à Ciência da Computação</t>
  </si>
  <si>
    <t>AL-019</t>
  </si>
  <si>
    <t>TODO</t>
  </si>
  <si>
    <t>https://trello.com/c/1LCOOgca/14-introdu%C3%A7%C3%A3o-%C3%A0-ci%C3%AAncia-da-computa%C3%A7%C3%A3o</t>
  </si>
  <si>
    <t>Calc1</t>
  </si>
  <si>
    <t xml:space="preserve">CÁLCULO E GEOMETRIA ANALÍTICA I - A </t>
  </si>
  <si>
    <t>MA-009</t>
  </si>
  <si>
    <t>https://trello.com/c/dkJHYOCY/4-c%C3%A1lculo-1</t>
  </si>
  <si>
    <t>Lucio (Frederico, Rosa, Marcio, Alvaro)</t>
  </si>
  <si>
    <t>Logica</t>
  </si>
  <si>
    <t>Lógica para Computação</t>
  </si>
  <si>
    <t>MA-003, MA-017</t>
  </si>
  <si>
    <t>MatDisc</t>
  </si>
  <si>
    <t>https://docs.google.com/document/d/1h7jFU2jKkFQ5_5S5fihjMzw6zjKKSuAk255YAJUJQTU/edit</t>
  </si>
  <si>
    <t>https://trello.com/c/btdllaLm/17-l%C3%B3gica-e-corre%C3%A7%C3%A3o-de-programas</t>
  </si>
  <si>
    <r>
      <rPr>
        <b/>
        <strike/>
        <sz val="10"/>
        <color rgb="FF999999"/>
        <rFont val="Arial"/>
      </rPr>
      <t xml:space="preserve">Leila, Lucio, </t>
    </r>
    <r>
      <rPr>
        <b/>
        <strike/>
        <sz val="10"/>
        <color rgb="FF999999"/>
        <rFont val="Arial"/>
      </rPr>
      <t>Karina</t>
    </r>
  </si>
  <si>
    <t>VerifTeste</t>
  </si>
  <si>
    <t>Teste e Verificação de Software</t>
  </si>
  <si>
    <t>Rodrigo</t>
  </si>
  <si>
    <t xml:space="preserve">MATEMÁTICA DISCRETA B </t>
  </si>
  <si>
    <t>MA-001,MA-002,MA-004,MA-015</t>
  </si>
  <si>
    <t>MA-H-002,MA-H-003,MA-H-007,MA-H-013</t>
  </si>
  <si>
    <t>https://www.google.com/</t>
  </si>
  <si>
    <t>https://trello.com/c/XtplbcAD/5-matem%C3%A1tica-discreta</t>
  </si>
  <si>
    <t>Gabriel</t>
  </si>
  <si>
    <t>Arq</t>
  </si>
  <si>
    <t>Arquitetura de Computadores</t>
  </si>
  <si>
    <t>AR-003, AR-004, AR-010, AR-011, AR-012, AR-013</t>
  </si>
  <si>
    <t>AR-H-002, AR-H-003, AR-H-005, AR-H-006</t>
  </si>
  <si>
    <t>IntroCIC, ALP</t>
  </si>
  <si>
    <t>https://docs.google.com/document/d/1oLumnMkzmpi9KvbAE2pGiR0Nx5BJqBNjPd62RFckjSY/edit?usp=sharing</t>
  </si>
  <si>
    <t>https://trello.com/c/MSpVSdDH/3-arquitetura-de-computadores</t>
  </si>
  <si>
    <t>Comba</t>
  </si>
  <si>
    <t>ED</t>
  </si>
  <si>
    <t>Estruturas de Dados</t>
  </si>
  <si>
    <t>AL-007, AL-008, AL-009, AL-011, AL-012, AL-013</t>
  </si>
  <si>
    <t>PC,ALP</t>
  </si>
  <si>
    <t>https://docs.google.com/document/d/19ryEO_r1lEMTYMs2VrRQUnSNSqMynpcklY02asf-TGE/edit?usp=sharing</t>
  </si>
  <si>
    <t>https://trello.com/c/vNWZgvVi/19-estruturas-de-dados</t>
  </si>
  <si>
    <t>ProbEst</t>
  </si>
  <si>
    <t xml:space="preserve">PROBABILIDADE E ESTATÍSTICA </t>
  </si>
  <si>
    <t>MA-007,MA-008</t>
  </si>
  <si>
    <t>Calc1,MatDisc*</t>
  </si>
  <si>
    <t>https://trello.com/c/QrTttUkn/16-probabilidade-e-estat%C3%ADstica</t>
  </si>
  <si>
    <t>Calc1,MatDisc</t>
  </si>
  <si>
    <t>Calc2</t>
  </si>
  <si>
    <t xml:space="preserve">CÁLCULO E GEOMETRIA ANALÍTICA II - A </t>
  </si>
  <si>
    <t>MA-010</t>
  </si>
  <si>
    <t>https://trello.com/c/Tkx6bzOR/18-c%C3%A1lculo-2</t>
  </si>
  <si>
    <t>Mariana (Lucio, Rodrigo, Alvaro)</t>
  </si>
  <si>
    <t>TeoComp1</t>
  </si>
  <si>
    <t>Teoria da Computação I - Linguagens Formais e Autômatos</t>
  </si>
  <si>
    <t>CO-001, CO-002, CO-003, CO-004</t>
  </si>
  <si>
    <t>https://docs.google.com/document/d/1bx2i7N1ok6X9x84cK3Rhxl6oMf2tUyL4LaNP2Ch4pRc/edit?usp=sharing</t>
  </si>
  <si>
    <t>https://trello.com/c/6JMWz7m8/20-teoria-da-computa%C3%A7%C3%A3o-1</t>
  </si>
  <si>
    <t>Azambuja</t>
  </si>
  <si>
    <t>CDNovo</t>
  </si>
  <si>
    <t>Projeto de Circuitos Digitais</t>
  </si>
  <si>
    <t>AR-005, AR-006, AR-007, AR-008, AR-009</t>
  </si>
  <si>
    <t>AR-H-003, AR-H-004, AR-H-005</t>
  </si>
  <si>
    <t>https://docs.google.com/document/d/1kDrM-APTQ3GgdaF6N8ngtjYbxGzN5QtsICp1aN2nzcw/edit</t>
  </si>
  <si>
    <t>https://trello.com/c/Gw39Zzfm/15-circuitos-digitais</t>
  </si>
  <si>
    <t xml:space="preserve"> Bruno,(André , Lucas, Henrique)</t>
  </si>
  <si>
    <t>PAA1</t>
  </si>
  <si>
    <t>Projeto e Análise de Algoritmos I</t>
  </si>
  <si>
    <t>CO-010,CO-011,CO-012,CO-013,CO-015</t>
  </si>
  <si>
    <t>ED,Logica,ProbEst*</t>
  </si>
  <si>
    <t>https://docs.google.com/document/d/13Y0idXY_LeAoySWiHtKg8GhXuJYlBNDQ4qWbQ8ENYEU/edit?usp=sharing</t>
  </si>
  <si>
    <t>https://trello.com/c/4uVPQA2b/22-projeto-de-algoritmos-1</t>
  </si>
  <si>
    <t>ED,ProbEst,Logica</t>
  </si>
  <si>
    <t>Pimenta</t>
  </si>
  <si>
    <t>TCP</t>
  </si>
  <si>
    <t>Desenvolvimento de Software</t>
  </si>
  <si>
    <t>ES-001, ES-002, ES-004, ES-005, ES-006, ES-007</t>
  </si>
  <si>
    <t>ES-H-001, ES-H-002, ES-H-003, ES-H-004, ES-H-005, ES-H-006, ES-H-007, ES-H-008, ES-H-009, ES-H-010</t>
  </si>
  <si>
    <t xml:space="preserve">ED </t>
  </si>
  <si>
    <t>https://trello.com/c/CdNEMnnM/30-t%C3%A9cnicas-de-constru%C3%A7%C3%A3o-de-programas</t>
  </si>
  <si>
    <t>Karin</t>
  </si>
  <si>
    <t>BD</t>
  </si>
  <si>
    <t>Bancos de Dados</t>
  </si>
  <si>
    <t xml:space="preserve">GD-015, GD-016, GD-018, GD-020, GD-021, GD-022, GD-023, GD-024, GD-025, GD-026, GD-027, GD-029, GD-031, GD-032 </t>
  </si>
  <si>
    <t>GD-H-001, GD-H-002, GD-H-003, GD-H-004, GD-H-005</t>
  </si>
  <si>
    <t>ED,Logica?</t>
  </si>
  <si>
    <t>https://docs.google.com/document/d/1hRO5n3vKF7TrBxCbpLledJCrC5I7TFPEk0DnW6-CEUc/edit</t>
  </si>
  <si>
    <t>https://trello.com/c/McjuRWxw/24-banco-de-dados</t>
  </si>
  <si>
    <t>Rodrigo (Bruno, Lucio, Mariana, Henrique)</t>
  </si>
  <si>
    <t>TeoComp2</t>
  </si>
  <si>
    <t>Teoria da Computação II - Computabilidade e Complexidade</t>
  </si>
  <si>
    <t>CO-006, CO-007, CO-008, CO-009</t>
  </si>
  <si>
    <t>TeoComp1,PAA1*</t>
  </si>
  <si>
    <t>https://docs.google.com/document/d/10qCvMHbIiF3eIVBmQ67aH_FSJBbiqdpRXeEaNsNh3Fo/edit</t>
  </si>
  <si>
    <t>https://trello.com/c/YqFJMFYg/25-teoria-da-computa%C3%A7%C3%A3o-2</t>
  </si>
  <si>
    <t>Henrique( André ,, Lucas)</t>
  </si>
  <si>
    <t>PAA2</t>
  </si>
  <si>
    <t>Projeto e Análise de Algoritmos II</t>
  </si>
  <si>
    <t>CO-014,CO-015,CO-016,CO-017,CO-018</t>
  </si>
  <si>
    <t>Plano de Ensino - PAA 2</t>
  </si>
  <si>
    <t>https://trello.com/c/BhM4YfAw/26-projeto-de-algoritmos-2</t>
  </si>
  <si>
    <t>Caco</t>
  </si>
  <si>
    <t>OrgComp</t>
  </si>
  <si>
    <t>Organização de Computadores</t>
  </si>
  <si>
    <t>AR-014, AR-015, AR-016, AR-017, AR-018, AR-019, AR-020, AR-021</t>
  </si>
  <si>
    <t>AR-H-007, AR-H-008, AR-H-009, AR-H-010, AR-H-011</t>
  </si>
  <si>
    <t>CD</t>
  </si>
  <si>
    <t>https://docs.google.com/document/d/1HFK3RYQtnn49GOxm4suhS8lMEOBCaxoL3aPS5CGzuOw/edit?usp=sharing</t>
  </si>
  <si>
    <t>https://trello.com/c/LCyJaThJ/21-organiza%C3%A7%C3%A3o-de-computadores</t>
  </si>
  <si>
    <t>AlgLin</t>
  </si>
  <si>
    <t xml:space="preserve">ÁLGEBRA LINEAR I - A </t>
  </si>
  <si>
    <t>MA-011</t>
  </si>
  <si>
    <t>https://trello.com/c/qJlWw0gi/23-%C3%A1lgebra-linear</t>
  </si>
  <si>
    <t>Lucineia / Leticia</t>
  </si>
  <si>
    <t>ES</t>
  </si>
  <si>
    <t>Engenharia de Software</t>
  </si>
  <si>
    <t>ES-001, ES-003, ES-004, ES-005, ES-006, ES-011, ES-012</t>
  </si>
  <si>
    <t>ES-H-001, ES-H-002, ES-H-003, ES-H-007, ES-H-008, ES-H-010</t>
  </si>
  <si>
    <t>https://docs.google.com/document/d/1ELw0Q58Ozw7RK2YQz1i_RlSUisXTBNbTtd7gJEd3Nq8/edit?usp=sharing</t>
  </si>
  <si>
    <t>https://trello.com/c/Na8HxAQP/33-engenharia-de-software</t>
  </si>
  <si>
    <t>Carla / Luciana</t>
  </si>
  <si>
    <t>IHC</t>
  </si>
  <si>
    <t>Interação Humano-Computador e Experiência do Usuário</t>
  </si>
  <si>
    <t>CG-063, CG-064, CG-072, CG-073, CG-075, CG-076, CG-077, CG-078, CG-079, CG-080</t>
  </si>
  <si>
    <t>https://trello.com/c/lICKjBIs/38-intera%C3%A7%C3%A3o-humano-computador-e-ux</t>
  </si>
  <si>
    <t>Nicolas</t>
  </si>
  <si>
    <t>SisOp</t>
  </si>
  <si>
    <t>Sistemas Operacionais</t>
  </si>
  <si>
    <t>AR-016, AR-017, AR-018, SO-001, SO-002, SO-003, SO-005, SO-006, SO-007, SO-008, SO-009, SO-012, SO-014, SO-015, SO-017, SO-018</t>
  </si>
  <si>
    <t>OrgComp*,Arq,ED</t>
  </si>
  <si>
    <r>
      <rPr>
        <sz val="8"/>
        <rFont val="Arial"/>
      </rPr>
      <t xml:space="preserve">Juliano: </t>
    </r>
    <r>
      <rPr>
        <u/>
        <sz val="8"/>
        <color rgb="FF1155CC"/>
        <rFont val="Arial"/>
      </rPr>
      <t>https://docs.google.com/document/d/1wAjqcJXyQiNMe3pS6iUokrFsELGYFdoaPsHilKU7TKU/edit?tab=t.0</t>
    </r>
  </si>
  <si>
    <t>https://trello.com/c/mtFCipp0/27-sistemas-operacionais</t>
  </si>
  <si>
    <t>Anderson</t>
  </si>
  <si>
    <t>IA</t>
  </si>
  <si>
    <t>Inteligência Artificial</t>
  </si>
  <si>
    <t>IA-001, IA-003, IA-004, IA-005, IA-006, IA-007, IA-008, IA-009, IA-013, IA-015, IA-019, IA-020, IA-031, IA-032</t>
  </si>
  <si>
    <t>IA-H-001, IA-H-002, IA-H-003, IA-H-004, IA-H-005, IA-H-006, IA-H-007, IA-H-013, IA-H-018, IA-H-020</t>
  </si>
  <si>
    <t>PAA1,ProbEst,ED*,TeoComp2*,AlgLin*,PAA2*</t>
  </si>
  <si>
    <t>[a revisar] Inteligência Artificial - Novo currículo CIC</t>
  </si>
  <si>
    <t>https://trello.com/c/tq1jNLuU/32-intelig%C3%AAncia-artificial</t>
  </si>
  <si>
    <t>AlgLin,PAA1,ProbEst,TCP</t>
  </si>
  <si>
    <t>Claudio</t>
  </si>
  <si>
    <t>CalcNum</t>
  </si>
  <si>
    <t xml:space="preserve">CÁLCULO NUMÉRICO A </t>
  </si>
  <si>
    <t>https://trello.com/c/PSZl3s5y/29-computa%C3%A7%C3%A3o-cient%C3%ADfica-antiga-calculo-numerico</t>
  </si>
  <si>
    <t>Calc2, AlgLin, PAA1?, ProbEst?</t>
  </si>
  <si>
    <t>(Frederico, Leila, Bruno,INA)</t>
  </si>
  <si>
    <t>ProjCI</t>
  </si>
  <si>
    <t>Projeto em Ciência e Inovação</t>
  </si>
  <si>
    <t>IntroCIC, TCP, PAA1, ProbEst, nro mín de créditos?</t>
  </si>
  <si>
    <t>https://docs.google.com/document/d/107H44vfmn_WTKGVZDSjiT9S3J7D5JJ3NjXondeIj_iY/edit</t>
  </si>
  <si>
    <t>https://trello.com/c/6VQIZqGY/31-projeto-em-ci%C3%AAncia-e-inova%C3%A7%C3%A3o</t>
  </si>
  <si>
    <t>IntroCIC, nro mín de créditos?</t>
  </si>
  <si>
    <t>Gastal / Manuel</t>
  </si>
  <si>
    <t>CGVis</t>
  </si>
  <si>
    <t>Computação Gráfica e Visualização I</t>
  </si>
  <si>
    <t>CG-001,CG-002,CG-003,CG-004,CG-005,CG-006,CG-007,CG-008,CG-009,CG-010,CG-031,CG-052</t>
  </si>
  <si>
    <t>CG-H-001,CG-H-002,CG-H-006,CG-H-009</t>
  </si>
  <si>
    <t>Calc2,AlgLin,ED,TCP*</t>
  </si>
  <si>
    <t>https://docs.google.com/document/d/1AQVNQ_rLOM4mQmEvx82grL1tV_iYipes-9vqJDxg-ms/edit</t>
  </si>
  <si>
    <t>https://trello.com/c/P4ge5gWB/41-computa%C3%A7%C3%A3o-gr%C3%A1fica-e-visualiza%C3%A7%C3%A3o</t>
  </si>
  <si>
    <t>Calc2,AlgLin,CC?,PI?</t>
  </si>
  <si>
    <t>Luciano</t>
  </si>
  <si>
    <t>Redes</t>
  </si>
  <si>
    <t>Redes de Computadores</t>
  </si>
  <si>
    <t>RC-001, RC-002, RC-003, RC-004, RC-005, RC-006, RC-007, RC-008, RC-009, RC-010, RC-011, RC-012, RC-013, RC-014, RC-015, RC-016, RC-017, RC-018, RC-019, RC-020, RC-021, RC-023, RC-024, RC-025, RC-026, RC-027, RC-029</t>
  </si>
  <si>
    <t>RC-H-001, RC-H-002, RC-H-003, RC-H-004</t>
  </si>
  <si>
    <t>Arq,SisOp*</t>
  </si>
  <si>
    <t>Plano de Ensino - Redes</t>
  </si>
  <si>
    <t>https://trello.com/c/9SkKZaYh/34-redes-de-computadores</t>
  </si>
  <si>
    <t>Mariana</t>
  </si>
  <si>
    <t>ML</t>
  </si>
  <si>
    <t>Aprendizado de Máquina</t>
  </si>
  <si>
    <t>IA-018, IA-026, IA-027, IA-029, IA-038, IA-039, IA-041, IA-042</t>
  </si>
  <si>
    <t>IA,Calc2,AlgLin,CC*</t>
  </si>
  <si>
    <r>
      <rPr>
        <sz val="8"/>
        <rFont val="Arial"/>
      </rPr>
      <t xml:space="preserve">[a revisar] </t>
    </r>
    <r>
      <rPr>
        <u/>
        <sz val="8"/>
        <color rgb="FF1155CC"/>
        <rFont val="Arial"/>
      </rPr>
      <t>https://docs.google.com/document/d/1MX-5i23YC4dQZJAQ1ApovqXrgret5g6C6O8no1bBny0/edit?usp=sharing</t>
    </r>
  </si>
  <si>
    <t>https://trello.com/c/XHS5mafm/43-aprendizado-de-m%C3%A1quina</t>
  </si>
  <si>
    <t>IA,Calc2?,CC?</t>
  </si>
  <si>
    <t>Jacob / Manuel</t>
  </si>
  <si>
    <t>PIVC</t>
  </si>
  <si>
    <t>Processamento de Imagens e Visão Computacional I</t>
  </si>
  <si>
    <t>CG-031, CG-032, CG-033, CG-034, CG-035, CG-036, CG-037, CG-038, CG-039, CG-040, CG-052, CG-053, CG-054, CG-055, CG-056, CG-057, CG-041</t>
  </si>
  <si>
    <t>https://docs.google.com/document/d/1YNxNGUU48SZfR6BGx0a7IGPeQ0-GZpdCPzwjnrqg41U/edit?usp=sharing</t>
  </si>
  <si>
    <t>https://trello.com/c/LQoZXaaX/36-processamento-de-imagens-e-vis%C3%A3o-computacional</t>
  </si>
  <si>
    <t>Calc2,ProbEst,CGVis?,CC?</t>
  </si>
  <si>
    <t>Lucas / Arthur</t>
  </si>
  <si>
    <t>ProgPar</t>
  </si>
  <si>
    <t>Programação Paralela</t>
  </si>
  <si>
    <t>SO-004, SO-021, SO-022, SO-023</t>
  </si>
  <si>
    <t>SisOp, PAA2*</t>
  </si>
  <si>
    <t>https://docs.google.com/document/d/1eKFczr0_lQWiLfNzZlR-iE8jh9Enx8HtWvAk8E-yicg/edit?usp=sharing</t>
  </si>
  <si>
    <t>https://trello.com/c/1AJyfJEk/28-programa%C3%A7%C3%A3o-paralela</t>
  </si>
  <si>
    <t>SisOp, PAA2, SDTF?</t>
  </si>
  <si>
    <t>Álvaro (Rodrigo, Frederico,INA)</t>
  </si>
  <si>
    <t>LP1</t>
  </si>
  <si>
    <t>Compiladores I</t>
  </si>
  <si>
    <t>https://docs.google.com/document/d/1tJUO3XEliBjyY5Kqx-sW8oS_BF6Hm4sy/edit?usp=sharing</t>
  </si>
  <si>
    <t>https://trello.com/c/3Qwq0Kxi/37-linguagens-de-programa%C3%A7%C3%A3o-1-sem%C3%A2ntica</t>
  </si>
  <si>
    <t>Logica?</t>
  </si>
  <si>
    <t>Jéferson</t>
  </si>
  <si>
    <t>Seg</t>
  </si>
  <si>
    <t>Cibersegurança</t>
  </si>
  <si>
    <t>SE-001, SE-002 , SE-003, SE-004, SE-005, SE-006, SE-007, SE-008, SE-009, SE-010, SE-022, SE-023, SE-024, SE-025, SE-026, SE-027, SE-036, SE-037, SE-040, SE-042, SE-043, SE-045, SE-046, SE-047, SE-048, SE-049, SE-050</t>
  </si>
  <si>
    <t>SE-H-001</t>
  </si>
  <si>
    <t>MatDisc, ProbEst, SisOp</t>
  </si>
  <si>
    <t>https://docs.google.com/document/d/1JxiC_c0AZFSaq30w08Urtmwlrz-WO_3OSntIMGOk_Ow/edit?usp=sharing</t>
  </si>
  <si>
    <t>https://trello.com/c/WRfERIUF/39-seguran%C3%A7a-de-sistemas-e-da-informa%C3%A7%C3%A3o</t>
  </si>
  <si>
    <t>MatDisc, CC</t>
  </si>
  <si>
    <t>Juliano / Cechin / Alberto</t>
  </si>
  <si>
    <t>SDTF</t>
  </si>
  <si>
    <t>Sistemas Distribuídos e Tolerantes a Falhas</t>
  </si>
  <si>
    <t>SO-020, SO-021, SO-024, SO-025</t>
  </si>
  <si>
    <t>SisOp, PAA2?, Redes*</t>
  </si>
  <si>
    <t>https://docs.google.com/document/d/1Q_f9KGGDCNlzRe-P6RmWgOhmlOZjPY31ch__Yw5hHRk/edit?usp=sharing</t>
  </si>
  <si>
    <t>https://trello.com/c/b4hcJKKa/40-sistemas-distribu%C3%ADdos-incluindo-blockchain-e-tolerantes-a-falhas</t>
  </si>
  <si>
    <t>SisOp, PAA2, Redes?</t>
  </si>
  <si>
    <t>Marcus (Grahl / Henrique )</t>
  </si>
  <si>
    <t>PAA3</t>
  </si>
  <si>
    <t>Projeto e Análise de Algoritmos III</t>
  </si>
  <si>
    <t>CO-019,CO-020,CO-021</t>
  </si>
  <si>
    <t>PAA1,PAA2*,TeoComp2,AlgLin</t>
  </si>
  <si>
    <t>https://docs.google.com/document/d/1-5zOUTOMaW8nveE1n9lUoWNfnbLZxSZRRiqpRUs5MFA/edit?usp=sharing</t>
  </si>
  <si>
    <t>https://trello.com/c/C0hZm6w4/35-projeto-de-algoritmos-3-otimiza%C3%A7%C3%A3o</t>
  </si>
  <si>
    <t>PAA2,TeoComp2,AlgLin</t>
  </si>
  <si>
    <t>Viviane</t>
  </si>
  <si>
    <t>PLN</t>
  </si>
  <si>
    <t>Processamento de Linguagem Natural</t>
  </si>
  <si>
    <t>IA-044, IA-045, IA-046, IA-047</t>
  </si>
  <si>
    <t>IA-H-026, IA-H-027, IA-H-028, IA-H-029</t>
  </si>
  <si>
    <t>ML,TeoComp1</t>
  </si>
  <si>
    <t>[a revisar] (v2) PLN - Novo currículo CIC</t>
  </si>
  <si>
    <t>https://trello.com/c/aZUkOnvs/73-processamento-de-linguagem-natural</t>
  </si>
  <si>
    <t>Lucas / Johann</t>
  </si>
  <si>
    <t>LP2</t>
  </si>
  <si>
    <t>Compiladores II</t>
  </si>
  <si>
    <t>LP1,SisOp*</t>
  </si>
  <si>
    <t>https://docs.google.com/document/d/1NDDUsBzc-d5X9ENrX650bZ6I0fputh3h/edit?usp=sharing</t>
  </si>
  <si>
    <t>https://trello.com/c/L5BKcOYB/42-linguagens-de-programa%C3%A7%C3%A3o-2-compiladores</t>
  </si>
  <si>
    <t>GT-ADM (Edson?)</t>
  </si>
  <si>
    <t>ProjInt</t>
  </si>
  <si>
    <t>Projeto Integrador</t>
  </si>
  <si>
    <t>ProjCI, nro mín de créditos?</t>
  </si>
  <si>
    <t>https://docs.google.com/document/d/13TYFoXSJlZX4qs54Rze1NwEWsVKYWYepJmNGf3w-490/edit?usp=sharing</t>
  </si>
  <si>
    <t>https://trello.com/c/sXcxUY3W/45-projeto-integrador</t>
  </si>
  <si>
    <t>TCC1</t>
  </si>
  <si>
    <t>Trabalho de Conclusão de Curso</t>
  </si>
  <si>
    <t>ProjInt?, Todas as obrigatórias?</t>
  </si>
  <si>
    <t>TCC2</t>
  </si>
  <si>
    <t>Semestre</t>
  </si>
  <si>
    <t>Em créditos</t>
  </si>
  <si>
    <t>Antigo currículo</t>
  </si>
  <si>
    <t>Novo currículo</t>
  </si>
  <si>
    <t>ATIVIDADES DE ENSINO OBRIGATÓRIAS + COMPLEMENTARES</t>
  </si>
  <si>
    <t>(soma automática da planilha acima)</t>
  </si>
  <si>
    <t>ATIVIDADES DE ENSINO ELETIVAS</t>
  </si>
  <si>
    <t>(definido a priori - atualmente 360, equivalendo a 6 disciplinas de 4 créditos cada)</t>
  </si>
  <si>
    <t>ATIVIDADES DE EXTENSÃO</t>
  </si>
  <si>
    <r>
      <rPr>
        <sz val="8"/>
        <color theme="1"/>
        <rFont val="Arial"/>
      </rPr>
      <t xml:space="preserve">(definido a priori - atualmente 330, precisa ser no mínimo 10% do número total de créditos </t>
    </r>
    <r>
      <rPr>
        <sz val="8"/>
        <color rgb="FFFF0000"/>
        <rFont val="Arial"/>
      </rPr>
      <t>(horas-MW)</t>
    </r>
    <r>
      <rPr>
        <sz val="8"/>
        <color theme="1"/>
        <rFont val="Arial"/>
      </rPr>
      <t>)</t>
    </r>
  </si>
  <si>
    <t>TOTAL DE HORAS</t>
  </si>
  <si>
    <t>CRÉDITOS OBRIGATÓRIOS</t>
  </si>
  <si>
    <t>CRÉDITOS OBRIGATÓRIOS SEM PROJETOS</t>
  </si>
  <si>
    <t>BACKUPS</t>
  </si>
  <si>
    <t>CC</t>
  </si>
  <si>
    <t>Computação Científica</t>
  </si>
  <si>
    <t>MA-012, MA-013</t>
  </si>
  <si>
    <t>MA-H-009, MA-H-010</t>
  </si>
  <si>
    <t>Calc2, AlgLin, PAA1*, ED</t>
  </si>
  <si>
    <t>https://docs.google.com/document/d/1S5YFMSJnqkniqfCg0nkEw-QJBXU2yjFz99QtxyFvHjc/edit?usp=sharing</t>
  </si>
  <si>
    <t>DISCIPLINAS ELETIVAS (Deprecated)</t>
  </si>
  <si>
    <t>Área</t>
  </si>
  <si>
    <t>Se a eletiva for oferecida 1 vez por ano, preencher a coluna "Etapa" com 1x, se for oferecida 2 vezes por ano, preencher com 2x.</t>
  </si>
  <si>
    <t>Pré-requisitos de eletivas podem ser definidos nesta coluna.</t>
  </si>
  <si>
    <t>AL</t>
  </si>
  <si>
    <t>Eletiva</t>
  </si>
  <si>
    <t>Desafios</t>
  </si>
  <si>
    <t>Desafios de Programação</t>
  </si>
  <si>
    <t>1x</t>
  </si>
  <si>
    <t>Anderson / Joel</t>
  </si>
  <si>
    <t>DL</t>
  </si>
  <si>
    <t>Aprendizado Profundo (PPGC)</t>
  </si>
  <si>
    <t>https://trello.com/c/M8VTGcgJ/51-deep-learning</t>
  </si>
  <si>
    <t>PE</t>
  </si>
  <si>
    <t>Renan</t>
  </si>
  <si>
    <t>Rob</t>
  </si>
  <si>
    <t>Robótica Móvel Inteligente (PPGC)</t>
  </si>
  <si>
    <t>PE-001, PE-002, PE-003, PE-004, PE-005, PE-006, PE-007, PE-008</t>
  </si>
  <si>
    <t>PE-H-001, PE-H-002, PE-H-003, PE-H-004</t>
  </si>
  <si>
    <t>Robótica Móvel Inteligente - Novo currículo CIC</t>
  </si>
  <si>
    <t>https://trello.com/c/cHH1SFYP/47-rob%C3%B3tica</t>
  </si>
  <si>
    <t>GD</t>
  </si>
  <si>
    <t>AdvBD</t>
  </si>
  <si>
    <t>Bancos de Dados Avançados</t>
  </si>
  <si>
    <t>https://trello.com/c/TDvGAGSo/55-banco-de-dados-avan%C3%A7ados</t>
  </si>
  <si>
    <t>EngDados</t>
  </si>
  <si>
    <t>Engenharia de Dados para Ciência de Dados</t>
  </si>
  <si>
    <t>https://trello.com/c/y27XHHA0/56-engenharia-de-dados-para-ci%C3%AAncia-de-dados</t>
  </si>
  <si>
    <t>RC</t>
  </si>
  <si>
    <t>LabInternet</t>
  </si>
  <si>
    <t>Laboratório de Internet</t>
  </si>
  <si>
    <t>https://trello.com/c/rhWhwN89/57-laborat%C3%B3rio-de-internet</t>
  </si>
  <si>
    <t>Comunic</t>
  </si>
  <si>
    <t>Comunicação de Dados e Tecnologias de Redes Emergentes</t>
  </si>
  <si>
    <t>https://trello.com/c/LZgVLhkK/59-comunica%C3%A7%C3%A3o-de-dados-e-tecnologias-de-redes-emergentes</t>
  </si>
  <si>
    <t>EM</t>
  </si>
  <si>
    <t>Empr</t>
  </si>
  <si>
    <t>Empreendedorismo</t>
  </si>
  <si>
    <t>EM-001, EM-002, EM-003, EM-004, EM-005, EM-006, EM-007, EM-008, EM-009, EM-010, EM-011, EM-012, EM-013, EM-014, EM-015</t>
  </si>
  <si>
    <t>EM-H-001, EM-H-002, EM-H-003, EM-H-004, EM-H-005, EM-H-006, EM-H-007, EM-H-008</t>
  </si>
  <si>
    <t>https://trello.com/c/4AIs1WQo/44-empreendedorismo</t>
  </si>
  <si>
    <t>ServRedes</t>
  </si>
  <si>
    <t>Serviços Avançados em Redes (PPGC)</t>
  </si>
  <si>
    <t>https://trello.com/c/pHdB2Ryx/58-servi%C3%A7os-avan%C3%A7ados-em-redes-ppgc</t>
  </si>
  <si>
    <t>RedProg</t>
  </si>
  <si>
    <t>Redes Programáveis e Inteligentes (PPGC)</t>
  </si>
  <si>
    <t>https://trello.com/c/7fyh8SKT/60-redes-program%C3%A1veis-e-inteligentes-ppgc</t>
  </si>
  <si>
    <t>SE</t>
  </si>
  <si>
    <t>SegRed</t>
  </si>
  <si>
    <t>Segurança de Redes (PPGC)</t>
  </si>
  <si>
    <t>https://trello.com/c/XZoTYW75/61-seguran%C3%A7a-de-redes-ppgc</t>
  </si>
  <si>
    <t>Jogos</t>
  </si>
  <si>
    <t>Projeto de Jogos Eletrônicos</t>
  </si>
  <si>
    <t>https://trello.com/c/ubICnJMn/48-games</t>
  </si>
  <si>
    <t>CG</t>
  </si>
  <si>
    <t>Claudio Jung</t>
  </si>
  <si>
    <t>VCA</t>
  </si>
  <si>
    <t>Visão Computacional Avançada (PPGC)</t>
  </si>
  <si>
    <t>CG-002,CG-048,CG-049,CG-059,CG-060,CG-061</t>
  </si>
  <si>
    <t>CG-H-008, CG-H-009, CG-H-010</t>
  </si>
  <si>
    <t>https://trello.com/c/0OginIPU/49-vis%C3%A3o-computacional-avan%C3%A7ada-ppgc</t>
  </si>
  <si>
    <t>Claudio Jung / Manuel</t>
  </si>
  <si>
    <t>DLVC</t>
  </si>
  <si>
    <t>Deep Learning para Computação Visual (PPGC)</t>
  </si>
  <si>
    <t>https://trello.com/c/5UpKel6Y/53-deep-learning-para-computa%C3%A7%C3%A3o-visual-ppgc</t>
  </si>
  <si>
    <t>Manuel</t>
  </si>
  <si>
    <t>FC</t>
  </si>
  <si>
    <t>Fotografia Computacional (PPGC)</t>
  </si>
  <si>
    <t>https://trello.com/c/z6MFB1SN/52-fotografia-computacional-ppgc</t>
  </si>
  <si>
    <t>CGA</t>
  </si>
  <si>
    <t>Computação Gráfica Avançada (PPGC)</t>
  </si>
  <si>
    <t>https://trello.com/c/iujy7pQZ/50-computa%C3%A7%C3%A3o-gr%C3%A1fica-avan%C3%A7ada-ppgc</t>
  </si>
  <si>
    <t>Carla / Comba</t>
  </si>
  <si>
    <t>DataViz</t>
  </si>
  <si>
    <t>Visualização de Dados</t>
  </si>
  <si>
    <t>Luciana</t>
  </si>
  <si>
    <t>VRAR</t>
  </si>
  <si>
    <t>Realidade Virtual e Aumentada (PPGC)</t>
  </si>
  <si>
    <t>https://trello.com/c/7NeWVr7B/8-realidade-virtual-e-visualiza%C3%A7%C3%A3o-de-dados-imersiva-ppgc</t>
  </si>
  <si>
    <t>AGEDS</t>
  </si>
  <si>
    <t>Algoritmos Geométricos e Estruturas de Dados Espaciais</t>
  </si>
  <si>
    <t>https://trello.com/c/Jfve9Nzp</t>
  </si>
  <si>
    <t>CDados</t>
  </si>
  <si>
    <t>Ciência de Dados</t>
  </si>
  <si>
    <t>https://docs.google.com/document/d/12TEaNrp-qtGswe7I92s1m01nDKbnbxhgxwFnyBekzzU/edit?tab=t.0</t>
  </si>
  <si>
    <t>https://trello.com/c/3bcheyxU/72-ci%C3%AAncia-de-dados</t>
  </si>
  <si>
    <t>Jacob</t>
  </si>
  <si>
    <t>AdvPI</t>
  </si>
  <si>
    <t>Processamento de Imagens Avançada (PPGC)</t>
  </si>
  <si>
    <t>CG-011,CG-015,CG-023,CG-032,CG-033,CG-037,CG-043,CG-044,CG-045,CG-046,CG-049,CG-059,CG-060,CG-061</t>
  </si>
  <si>
    <t>ALP,Calc1,ProbEst</t>
  </si>
  <si>
    <t>https://docs.google.com/document/d/1sXjPBw18RJ2rJVqV0R6er6xJC938ZQmOmrs5soq0muE/edit</t>
  </si>
  <si>
    <t>Lucineia</t>
  </si>
  <si>
    <t>ModProcNeg</t>
  </si>
  <si>
    <t>Modelagem e Gerenciamento de Processos de Negócio</t>
  </si>
  <si>
    <t>ES-010</t>
  </si>
  <si>
    <t>https://docs.google.com/document/d/1bRP7L077W5JvJCgJAVHHpm7Qmarmgz_uZKmOy4BRKhc/edit</t>
  </si>
  <si>
    <t>https://trello.com/c/O5zrjQM5/63-modelagem-e-gerenciamento-de-processos-de-neg%C3%B3cio</t>
  </si>
  <si>
    <t>INF01001</t>
  </si>
  <si>
    <t>Especificação e Verificação de Software</t>
  </si>
  <si>
    <t>https://trello.com/c/c1Z61qH7/64-especifica%C3%A7%C3%A3o-e-verifica%C3%A7%C3%A3o-de-software</t>
  </si>
  <si>
    <t>Mobile</t>
  </si>
  <si>
    <t>Desenvolvimento Mobile</t>
  </si>
  <si>
    <t>https://trello.com/c/33UiH9Cg/66-desenvolvimento-mobile</t>
  </si>
  <si>
    <t>Leandro</t>
  </si>
  <si>
    <t>Web</t>
  </si>
  <si>
    <t>Desenvolvimento Web</t>
  </si>
  <si>
    <t>Linguagens de programação para web (e.g., HTML5, CSS, JavaScript); Arquiteturas (front-end, backend), Componentes WEB, APIs; Frameworks para aplicações web (e.g. Yii, Rails, Django, Flask, Laravel, Spring, Angular, React); Padrões web (e.g. DOM, JSON, AJAX) e padrões arquiteturais (MVC, MVVP, MVC); Software as a Service (SaaS); Considerações de Segurança e Privacidade; Modelagem de aplicações web.</t>
  </si>
  <si>
    <t>Desenvolver e implementar uma aplicação web; Descrever requisitos, restrições e oportunidades de plataformas web; Comparar e contrastar programação web e programação de propósito geral; Descrever diferenças entre Software-como-serviço e software tradicional; Discutir como padrões web impactam desenvolvimento de software; Analisar aplicações web existentes em relação a padrões</t>
  </si>
  <si>
    <t>https://trello.com/c/HyX5gPHq/65-desenvolvimento-web</t>
  </si>
  <si>
    <t>LP</t>
  </si>
  <si>
    <t>TendLP</t>
  </si>
  <si>
    <t>Tendências em Linguagens de Programação</t>
  </si>
  <si>
    <t>Conteúdo de MLP, novas tecnologias usadas por linguagens modernas</t>
  </si>
  <si>
    <t>LP2,ES</t>
  </si>
  <si>
    <t>https://trello.com/c/FARaU1Be/67-tend%C3%AAncias-em-linguagens-de-programa%C3%A7%C3%A3o</t>
  </si>
  <si>
    <t>MetAgeis</t>
  </si>
  <si>
    <t>Métodos Ágeis</t>
  </si>
  <si>
    <t>https://trello.com/c/FUJKuXgj/68-m%C3%A9todos-%C3%A1geis</t>
  </si>
  <si>
    <t>RI</t>
  </si>
  <si>
    <t>Recuperação de Informação</t>
  </si>
  <si>
    <t>https://trello.com/c/vfa0BWZM/71-recupera%C3%A7%C3%A3o-de-informa%C3%A7%C3%A3o</t>
  </si>
  <si>
    <t>ArqBD</t>
  </si>
  <si>
    <t>Arquitetura de Banco de Dados</t>
  </si>
  <si>
    <t>https://trello.com/c/hV8huQEe/70-arquitetura-de-banco-de-dados</t>
  </si>
  <si>
    <t>NoSQL</t>
  </si>
  <si>
    <t>Bancos de Dados NoSQL</t>
  </si>
  <si>
    <t>https://trello.com/c/OR9OljXv/69-nosql</t>
  </si>
  <si>
    <t>Leticia</t>
  </si>
  <si>
    <t>GenProj</t>
  </si>
  <si>
    <t xml:space="preserve">Gerência e Administração de Projetos </t>
  </si>
  <si>
    <t>https://trello.com/c/Pz2bOS98/62-gest%C3%A3o-de-produtos-de-software</t>
  </si>
  <si>
    <t>TestSoft</t>
  </si>
  <si>
    <t>Teste de Software</t>
  </si>
  <si>
    <t>https://docs.google.com/document/d/1A8WszoEEUzTfqW4YdSbYK6GHFtLAonRAvARDSuTbeD4/edit?usp=sharing</t>
  </si>
  <si>
    <t>MI</t>
  </si>
  <si>
    <t>Marcio</t>
  </si>
  <si>
    <t>INF05018</t>
  </si>
  <si>
    <t>Biologia Computacional</t>
  </si>
  <si>
    <t>AR</t>
  </si>
  <si>
    <t>ArqAv</t>
  </si>
  <si>
    <t>ARQUITETURAS AVANÇADAS DE COMPUTADORES (PPGC)</t>
  </si>
  <si>
    <t>AR-022, AR-023</t>
  </si>
  <si>
    <t>AR-H-009, AR-H-013</t>
  </si>
  <si>
    <t>CAD</t>
  </si>
  <si>
    <t>CAD PARA SISTEMAS DIGITAIS (PPGC?)</t>
  </si>
  <si>
    <t>AR-025</t>
  </si>
  <si>
    <t>AR-H-014</t>
  </si>
  <si>
    <t>Cláudio Diniz</t>
  </si>
  <si>
    <t>CCI1</t>
  </si>
  <si>
    <t>CONCEPÇÃO DE CIRCUITOS INTEGRADOS I</t>
  </si>
  <si>
    <t>AR-005, AR-006, AR-026</t>
  </si>
  <si>
    <t>AR-H-004, AR-H-011</t>
  </si>
  <si>
    <t>https://trello.com/c/7IB3Iho6</t>
  </si>
  <si>
    <t>CCI2</t>
  </si>
  <si>
    <t>CONCEPÇÃO DE CIRCUITOS INTEGRADOS II</t>
  </si>
  <si>
    <t>AR-025, AR-026</t>
  </si>
  <si>
    <t>AR-H-004</t>
  </si>
  <si>
    <t>SisDig</t>
  </si>
  <si>
    <t>SISTEMAS DIGITAIS PARA COMPUTADORES A</t>
  </si>
  <si>
    <t>AR-007, AR-008, AR-026</t>
  </si>
  <si>
    <t>AR-H-004, AR-H-007</t>
  </si>
  <si>
    <t>SisEmb</t>
  </si>
  <si>
    <t>SISTEMAS EMBARCADOS APLICADOS (PPGC)</t>
  </si>
  <si>
    <t>AR-021, AR-023</t>
  </si>
  <si>
    <t>AR-H-007, AR-H-011</t>
  </si>
  <si>
    <t>CD, SisOp</t>
  </si>
  <si>
    <t>Arthur</t>
  </si>
  <si>
    <t>HPS</t>
  </si>
  <si>
    <t>High-Performane Software</t>
  </si>
  <si>
    <t>https://trello.com/c/QE9Vchhb</t>
  </si>
  <si>
    <t>LabSoft</t>
  </si>
  <si>
    <t>LABORATÓRIO DE SISTEMAS DE SOFTWARE</t>
  </si>
  <si>
    <t>ES-001, ES-002, ES-003, ES-004, ES-005, ES-006, ES-007, ES-011</t>
  </si>
  <si>
    <t>https://docs.google.com/document/d/1z5tR8qq82BMvQKTcEddnbL8sXc3l7-EU/edit?usp=drive_link&amp;ouid=108303391763825017595&amp;rtpof=true&amp;sd=true</t>
  </si>
  <si>
    <t>Letícia</t>
  </si>
  <si>
    <t>ES10</t>
  </si>
  <si>
    <t>Desenvolvimento Colaborativo de Software</t>
  </si>
  <si>
    <t>Lucinéia</t>
  </si>
  <si>
    <t>ES11</t>
  </si>
  <si>
    <t>Automação de Processos Robóticos (Robotic Process Automation - RPA)</t>
  </si>
  <si>
    <t>ES12</t>
  </si>
  <si>
    <t>Tendências em Engenharia de Software</t>
  </si>
  <si>
    <t>André Grahl</t>
  </si>
  <si>
    <t>IAA</t>
  </si>
  <si>
    <t>Inteligência Artificial Avançada (PPGC)</t>
  </si>
  <si>
    <t>Plano de Ensino - IAA</t>
  </si>
  <si>
    <t xml:space="preserve">Eletiva </t>
  </si>
  <si>
    <t>2x</t>
  </si>
  <si>
    <t>Daltro</t>
  </si>
  <si>
    <t>ES2</t>
  </si>
  <si>
    <t>https://docs.google.com/document/d/1D699NRYJrV2rXSHKPWGi4UkdgV_EotvW/edit?usp=sharing&amp;ouid=114145578023086523491&amp;rtpof=true&amp;sd=true</t>
  </si>
  <si>
    <t>Verificado?</t>
  </si>
  <si>
    <t>Nome da
Disciplina</t>
  </si>
  <si>
    <t>Código
Disciplina</t>
  </si>
  <si>
    <t>Tipo de
Pré-requisito</t>
  </si>
  <si>
    <t>Pré-requisito</t>
  </si>
  <si>
    <t>Comentário</t>
  </si>
  <si>
    <t>Verificado</t>
  </si>
  <si>
    <t>Cálculo e Geometria Analítica I - A</t>
  </si>
  <si>
    <t>Lógica e Correção de Programas</t>
  </si>
  <si>
    <t>hard</t>
  </si>
  <si>
    <t>(Lógica e Correção de Programas)</t>
  </si>
  <si>
    <t>(Algoritmos e Programação)</t>
  </si>
  <si>
    <t>Matemática Discreta</t>
  </si>
  <si>
    <t>soft</t>
  </si>
  <si>
    <t>(Introdução à Ciência da Computação)</t>
  </si>
  <si>
    <t>(Pensamento Computacional)</t>
  </si>
  <si>
    <t>Probabilidade e Estatística</t>
  </si>
  <si>
    <t>(Cálculo e Geometria Analítica I - A)</t>
  </si>
  <si>
    <t>Cálculo e Geometria Analítica II - A</t>
  </si>
  <si>
    <t>(Matemática Discreta)</t>
  </si>
  <si>
    <t>(Arquitetura de Computadores)</t>
  </si>
  <si>
    <t>(Estruturas de Dados)</t>
  </si>
  <si>
    <t>(Probabilidade e Estatística)</t>
  </si>
  <si>
    <t>Desenvolvimento de Software de Qualidade (ex-TCP)</t>
  </si>
  <si>
    <t>Fundamentos de Bancos de Dados</t>
  </si>
  <si>
    <t>(Teoria da Computação I - Linguagens Formais e Autômatos)</t>
  </si>
  <si>
    <t>(Projeto e Análise de Algoritmos I)</t>
  </si>
  <si>
    <t>(Projeto de Circuitos Digitais)</t>
  </si>
  <si>
    <t>Álgebra Linear</t>
  </si>
  <si>
    <t>(Desenvolvimento de Software de Qualidade (ex-TCP))</t>
  </si>
  <si>
    <t>Interação Humano-Computador e UX</t>
  </si>
  <si>
    <t>(Organização de Computadores)</t>
  </si>
  <si>
    <t>(Teoria da Computação II - Computabilidade e Complexidade)</t>
  </si>
  <si>
    <t>(Álgebra Linear)</t>
  </si>
  <si>
    <t>(Projeto e Análise de Algoritmos II)</t>
  </si>
  <si>
    <t>(Cálculo e Geometria Analítica II - A)</t>
  </si>
  <si>
    <t>Cálculo Numérico A</t>
  </si>
  <si>
    <t>Computação Gráfica e Visualização</t>
  </si>
  <si>
    <t>(Sistemas Operacionais)</t>
  </si>
  <si>
    <t>Processamento de Imagens e Visão Computacional</t>
  </si>
  <si>
    <t>(Computação Gráfica e Visualização)</t>
  </si>
  <si>
    <t>Linguagens de Programação I</t>
  </si>
  <si>
    <t>Segurança de Sistemas e da Informação</t>
  </si>
  <si>
    <t>(Redes de Computadores)</t>
  </si>
  <si>
    <t>(Aprendizado de Máquina)</t>
  </si>
  <si>
    <t>Linguagens de Programação II</t>
  </si>
  <si>
    <t>(Linguagens de Programação I)</t>
  </si>
  <si>
    <t>(Projeto em Ciência e Inovação)</t>
  </si>
  <si>
    <t>#cred(130)</t>
  </si>
  <si>
    <t>Número de créditos equivalente às obrigatórias até o 6° semestre, com a subtração de 8 créditos (2 disciplinas de folga)</t>
  </si>
  <si>
    <t>(Projeto Integrador)</t>
  </si>
  <si>
    <t>#cred(166)</t>
  </si>
  <si>
    <t>100% dos créditos obrigatórios do curso</t>
  </si>
  <si>
    <t>(Trabalho de Conclusão de Curso)</t>
  </si>
  <si>
    <t>ELETIVAS</t>
  </si>
  <si>
    <t>Sim</t>
  </si>
  <si>
    <t>Robótica Móvel Inteligente</t>
  </si>
  <si>
    <t>(Cálculo Numérico A)</t>
  </si>
  <si>
    <t>etapa</t>
  </si>
  <si>
    <t>carater</t>
  </si>
  <si>
    <t>denominacao_final</t>
  </si>
  <si>
    <t>codigo_interno</t>
  </si>
  <si>
    <t>departamento</t>
  </si>
  <si>
    <t>Status Plano</t>
  </si>
  <si>
    <t>INA</t>
  </si>
  <si>
    <t>CÁLCULO E GEOMETRIA ANALÍTICA I - A</t>
  </si>
  <si>
    <t>MAT</t>
  </si>
  <si>
    <t>Descrição</t>
  </si>
  <si>
    <t>Departamento</t>
  </si>
  <si>
    <t>Professor</t>
  </si>
  <si>
    <t>Histórico</t>
  </si>
  <si>
    <t>INT</t>
  </si>
  <si>
    <t>(INF01090) CIÊNCIA DE DADOS N</t>
  </si>
  <si>
    <t>Departamento de Informática Aplicada</t>
  </si>
  <si>
    <t>JOAO LUIZ DIHL COMBA</t>
  </si>
  <si>
    <t>Aprovado</t>
  </si>
  <si>
    <t>(INF01091) COMPUTAÇÃO DE ALTO DESEMPENHO</t>
  </si>
  <si>
    <t>LUCAS MELLO SCHNORR</t>
  </si>
  <si>
    <t>(INF01009) COMPUTAÇÃO GRÁFICA II</t>
  </si>
  <si>
    <t>MANUEL MENEZES DE OLIVEIRA NETO</t>
  </si>
  <si>
    <t>CÁLCULO E GEOMETRIA ANALÍTICA II - A</t>
  </si>
  <si>
    <t>(INF01099) DESENVOLVIMENTO DE APLICAÇÕES WEB</t>
  </si>
  <si>
    <t>LEANDRO KRUG WIVES</t>
  </si>
  <si>
    <t>(INF01016) GERÊNCIA E ADMINISTRAÇÃO DE PROJETOS</t>
  </si>
  <si>
    <t>LETICIA DOS SANTOS MACHADO</t>
  </si>
  <si>
    <t>MATEMÁTICA DISCRETA B</t>
  </si>
  <si>
    <t>(INF01087) INTRODUÇÃO À CIÊNCIA DA COMPUTAÇÃO</t>
  </si>
  <si>
    <t>DENNIS GIOVANI BALREIRA</t>
  </si>
  <si>
    <t>PROBABILIDADE E ESTATÍSTICA</t>
  </si>
  <si>
    <t>(INF01095) NOVAS ABORDAGENS DE BANCO DE DADOS</t>
  </si>
  <si>
    <t>RENATA DE MATOS GALANTE</t>
  </si>
  <si>
    <t>(INF01089) PROCESSAMENTO DE IMAGENS II</t>
  </si>
  <si>
    <t>JACOB SCHARCANSKI</t>
  </si>
  <si>
    <t>(INF01100) PROCESSAMENTO DE LINGUAGEM NATURAL</t>
  </si>
  <si>
    <t>VIVIANE PEREIRA MOREIRA</t>
  </si>
  <si>
    <t>(INF01006) PROJETO DE BANCO DE DADOS</t>
  </si>
  <si>
    <t>(INF01096) RECUPERAÇÃO DE INFORMAÇÃO</t>
  </si>
  <si>
    <t>(INF01097) SEGURANÇA DE REDES DE COMPUTADORES E SISTEMAS DISTRIBUÍDOS</t>
  </si>
  <si>
    <t>Eder John Scheid</t>
  </si>
  <si>
    <t>Teoria da Computação I</t>
  </si>
  <si>
    <t>(INF01074) TECNOLOGIAS COMPUTACIONAIS - EAD</t>
  </si>
  <si>
    <t>JOAO CESAR NETTO</t>
  </si>
  <si>
    <t>ÁLGEBRA LINEAR I - A</t>
  </si>
  <si>
    <t>(INF01217) TENDÊNCIAS EM ENGENHARIA DE SOFTWARE</t>
  </si>
  <si>
    <t>Karina Kohl Silveira</t>
  </si>
  <si>
    <t>(INF01060) TÓPICOS ESPECIAIS EM COMPUTAÇÃO XVIII</t>
  </si>
  <si>
    <t>RENAN DE QUEIROZ MAFFEI</t>
  </si>
  <si>
    <t>(INF01219) TÓPICOS ESPECIAIS EM COMPUTAÇÃO XXXIV</t>
  </si>
  <si>
    <t>(INF01211) ALGORITMOS E PROGRAMAÇÃO</t>
  </si>
  <si>
    <t>Sem plano</t>
  </si>
  <si>
    <t>(INF01023) ARQUITETURA E DESEMPENHO DE BANCO DE DADOS</t>
  </si>
  <si>
    <t>Teoria da Computação II</t>
  </si>
  <si>
    <t>(INF01112) ARQUITETURA E ORGANIZAÇÃO DE COMPUTADORES II</t>
  </si>
  <si>
    <t>(INF01145) BANCOS DE DADOS</t>
  </si>
  <si>
    <t>KARIN BECKER</t>
  </si>
  <si>
    <t>CÁLCULO NUMÉRICO A</t>
  </si>
  <si>
    <t>(INF01205) CAD PARA SISTEMAS DIGITAIS</t>
  </si>
  <si>
    <t>ANDRE INACIO REIS</t>
  </si>
  <si>
    <t>(INF01058) CIRCUITOS DIGITAIS</t>
  </si>
  <si>
    <t>MARCELO DE OLIVEIRA JOHANN</t>
  </si>
  <si>
    <t>COMGRAD-CIC</t>
  </si>
  <si>
    <t>(INF01124) CLASSIFICAÇÃO E PESQUISA DE DADOS</t>
  </si>
  <si>
    <t>(INF01101) COMPUTAÇÃO BÁSICA FORTRAN</t>
  </si>
  <si>
    <t>(INF01037) COMPUTAÇÃO EVOLUTIVA</t>
  </si>
  <si>
    <t>DANTE AUGUSTO COUTO BARONE</t>
  </si>
  <si>
    <t>(INF01119) COMPUTADOR E SISTEMAS DE INFORMAÇÃO</t>
  </si>
  <si>
    <t>JOSE VALDENI DE LIMA</t>
  </si>
  <si>
    <t>(INF01140) COMPUTADOR E SOCIEDADE</t>
  </si>
  <si>
    <t>(INF01194) CONCEPÇÃO DE CIRCUITOS INTEGRADOS II</t>
  </si>
  <si>
    <t>SERGIO BAMPI</t>
  </si>
  <si>
    <t>(INF01056) DESAFIOS DE PROGRAMAÇÃO</t>
  </si>
  <si>
    <t>(INF01120) DESENVOLVIMENTO DE SOFTWARE</t>
  </si>
  <si>
    <t>MARCELO SOARES PIMENTA</t>
  </si>
  <si>
    <t>Otimização Combinatória</t>
  </si>
  <si>
    <t>(INF01032) EMPREENDIMENTO EM INFORMÁTICA</t>
  </si>
  <si>
    <t>ERIKA FERNANDES COTA</t>
  </si>
  <si>
    <t>(INF01001) ESPECIFICAÇÃO FORMAL N</t>
  </si>
  <si>
    <t>DALTRO JOSE NUNES</t>
  </si>
  <si>
    <t>(INF01126) ESTRUTURAS DE DADOS I</t>
  </si>
  <si>
    <t>ANDERSON ROCHA TAVARES</t>
  </si>
  <si>
    <t>(INF01209) FUNDAMENTOS DE TOLERÂNCIA A FALHAS</t>
  </si>
  <si>
    <t>SERGIO LUIS CECHIN</t>
  </si>
  <si>
    <t>Projeto Integrador em Computação</t>
  </si>
  <si>
    <t>(INF01015) GERÊNCIA E APLICAÇÕES EM REDES</t>
  </si>
  <si>
    <t>Jeferson Campos Nobre</t>
  </si>
  <si>
    <t>TRABALHO DE CONCLUSÃO DE CURSO - CIÊNCIA DA COMPUTAÇÃO</t>
  </si>
  <si>
    <t>TCC</t>
  </si>
  <si>
    <t>(INF01039) HISTÓRIA DA COMPUTAÇÃO</t>
  </si>
  <si>
    <t>ROBERTO CABRAL DE MELLO BORGES</t>
  </si>
  <si>
    <t>Processamento de Imagens II</t>
  </si>
  <si>
    <t>(INF01048) INTELIGÊNCIA ARTIFICIAL</t>
  </si>
  <si>
    <t>Arquiteturas Avançadas de Computadores</t>
  </si>
  <si>
    <t>(INF01107) INTRODUÇÃO À ARQUITETURA DE COMPUTADORES</t>
  </si>
  <si>
    <t>Claudio Machado Diniz</t>
  </si>
  <si>
    <t>CAD para Sistemas Digitais</t>
  </si>
  <si>
    <t>(INF01210) INTRODUÇÃO À INFORMÁTICA</t>
  </si>
  <si>
    <t>FERNANDO ROSA DO NASCIMENTO</t>
  </si>
  <si>
    <t>(INF01049) INTRODUÇÃO À PESQUISA EM INFORMÁTICA</t>
  </si>
  <si>
    <t>Computação Gráfica II</t>
  </si>
  <si>
    <t>(INF01212) METODOLOGIA DE PROGRAMAÇÃO</t>
  </si>
  <si>
    <t>Computação de Alto Desempenho</t>
  </si>
  <si>
    <t>CMP270</t>
  </si>
  <si>
    <t>(INF01121) MODELOS DE LINGUAGEM DE PROGRAMAÇÃO</t>
  </si>
  <si>
    <t>Computador e Sociedade</t>
  </si>
  <si>
    <t>CompSoc</t>
  </si>
  <si>
    <t>(INF01057) PROGRAMAÇÃO ORIENTADA A OBJETO</t>
  </si>
  <si>
    <t>THIAGO LOPES TRUGILLO DA SILVEIRA</t>
  </si>
  <si>
    <t>(INF01086) PROJETO DE CIRCUITOS DIGITAIS</t>
  </si>
  <si>
    <t>José Rodrigo Furlanetto de Azambuja</t>
  </si>
  <si>
    <t>Aprendizado Profundo</t>
  </si>
  <si>
    <t>(INF01021) PROJETO DE HIPERDOCUMENTOS</t>
  </si>
  <si>
    <t>Aprendizado Profundo para Computação Visual</t>
  </si>
  <si>
    <t>(INF01116) SIMULAÇÃO</t>
  </si>
  <si>
    <t>Visualização II</t>
  </si>
  <si>
    <t>(INF01014) SISTEMAS DE BANCO DE DADOS DISTRIBUÍDOS</t>
  </si>
  <si>
    <t>Substituida por QUI99009 - Introdução ao Empreendedorismo e à Inovação</t>
  </si>
  <si>
    <t>QUI</t>
  </si>
  <si>
    <t>(INF01175) SISTEMAS DIGITAIS PARA COMPUTADORES A</t>
  </si>
  <si>
    <t>FERNANDA GUSMAO DE LIMA KASTENSMIDT</t>
  </si>
  <si>
    <t>Fotografia Computacional</t>
  </si>
  <si>
    <t>(INF01038) SISTEMAS ESPECIALISTAS N</t>
  </si>
  <si>
    <t>Joel Luis Carbonera</t>
  </si>
  <si>
    <t>Gerência e Administração de Projetos</t>
  </si>
  <si>
    <t>(INF01018) SISTEMAS OPERACIONAIS DISTRIBUÍDOS E DE REDES</t>
  </si>
  <si>
    <t>Software de Alto Desempenho</t>
  </si>
  <si>
    <t>(INF01214) TESTE DE SOFTWARE</t>
  </si>
  <si>
    <t>Inteligência Artificial Avançada</t>
  </si>
  <si>
    <t>(INF01179) TÓPICOS ESPECIAIS EM COMPUTAÇÃO I</t>
  </si>
  <si>
    <t>Especificação Formal N</t>
  </si>
  <si>
    <t>(INF01182) TÓPICOS ESPECIAIS EM COMPUTAÇÃO II</t>
  </si>
  <si>
    <t>NICOLAS BRUNO MAILLARD</t>
  </si>
  <si>
    <t>Avaliação de Desempenho</t>
  </si>
  <si>
    <t>INF01146</t>
  </si>
  <si>
    <t>(INF01188) TÓPICOS ESPECIAIS EM COMPUTAÇÃO III</t>
  </si>
  <si>
    <t>Laboratório de Redes de Computadores</t>
  </si>
  <si>
    <t>(INF01198) TÓPICOS ESPECIAIS EM COMPUTAÇÃO IV</t>
  </si>
  <si>
    <t>(INF01054) TÓPICOS ESPECIAIS EM COMPUTAÇÃO VII</t>
  </si>
  <si>
    <t>Mateus Grellert da Silva</t>
  </si>
  <si>
    <t>(INF01055) TÓPICOS ESPECIAIS EM COMPUTAÇÃO VIII</t>
  </si>
  <si>
    <t>LUIGI CARRO</t>
  </si>
  <si>
    <t>Novas Abordagens de Banco de Dados</t>
  </si>
  <si>
    <t>(INF01065) TÓPICOS ESPECIAIS EM COMPUTAÇÃO X</t>
  </si>
  <si>
    <t>Projeto de Banco de Dados</t>
  </si>
  <si>
    <t>ProjBD</t>
  </si>
  <si>
    <t>(INF01064) TÓPICOS ESPECIAIS EM COMPUTAÇÃO XI</t>
  </si>
  <si>
    <t>(INF01063) TÓPICOS ESPECIAIS EM COMPUTAÇÃO XII</t>
  </si>
  <si>
    <t>(INF01062) TÓPICOS ESPECIAIS EM COMPUTAÇÃO XVI</t>
  </si>
  <si>
    <t>Segurança de Redes de Computadores e Sistemas Distribuídos</t>
  </si>
  <si>
    <t>(INF01061) TÓPICOS ESPECIAIS EM COMPUTAÇÃO XVII</t>
  </si>
  <si>
    <t>RAUL FERNANDO WEBER</t>
  </si>
  <si>
    <t>Serviços Avançados em Redes</t>
  </si>
  <si>
    <t>(INF01066) TÓPICOS ESPECIAIS EM COMPUTAÇÃO XXII</t>
  </si>
  <si>
    <t>Fundamentos e Arquiteturas</t>
  </si>
  <si>
    <t>(INF01067) TÓPICOS ESPECIAIS EM COMPUTAÇÃO XXIII</t>
  </si>
  <si>
    <t>Visão Computacional II</t>
  </si>
  <si>
    <t>(INF01069) TÓPICOS ESPECIAIS EM COMPUTAÇÃO XXIX</t>
  </si>
  <si>
    <t>Realidade Virtual Aumentada e Mista</t>
  </si>
  <si>
    <t>(INF01070) TÓPICOS ESPECIAIS EM COMPUTAÇÃO XXX</t>
  </si>
  <si>
    <t>Desenvolvimento de Aplicações Web</t>
  </si>
  <si>
    <t>(INF01071) TÓPICOS ESPECIAIS EM COMPUTAÇÃO XXXI</t>
  </si>
  <si>
    <t>CARLA MARIA DAL SASSO FREITAS</t>
  </si>
  <si>
    <t>(INF01072) TÓPICOS ESPECIAIS EM COMPUTAÇÃO XXXII</t>
  </si>
  <si>
    <t>(INF01218) TÓPICOS ESPECIAIS EM COMPUTAÇÃO XXXIII</t>
  </si>
  <si>
    <t>(INF01220) TÓPICOS ESPECIAIS EM COMPUTAÇÃO XXXV</t>
  </si>
  <si>
    <t>(INF01053) TÓPICOS ESPECIAIS EM ENGENHARIA DE COMPUTAÇÃO IV</t>
  </si>
  <si>
    <t>LEILA RIBEIRO</t>
  </si>
  <si>
    <t>OK?</t>
  </si>
  <si>
    <t>Resolução - Por que este conteúdo não foi alocado em disciplina obrigatória?</t>
  </si>
  <si>
    <t>ID</t>
  </si>
  <si>
    <t>Conteúdo</t>
  </si>
  <si>
    <t>Essencialidade</t>
  </si>
  <si>
    <t>Novo</t>
  </si>
  <si>
    <t>Horas</t>
  </si>
  <si>
    <t>Ok</t>
  </si>
  <si>
    <t>O conteúdo será abordado em Algoritmos e Programação (uso básico de arquivos binários estruturados) e também em nível de aplicação em Estruturas de Dados: arquivos invertidos, árvores B, tabela hash. A parte mais baix nível, em detalhes técnicos sobre acesso sequencial, acesso randômico e o impacto disso em diferentes dispositivos de armazenamento, ficará para disciplina eletiva sobre implementação de bancos de dados.</t>
  </si>
  <si>
    <t>AL-010</t>
  </si>
  <si>
    <t>Organização de Arquivos</t>
  </si>
  <si>
    <t>Essencial 1</t>
  </si>
  <si>
    <t>Atual</t>
  </si>
  <si>
    <t>OK</t>
  </si>
  <si>
    <t>Coberto em PAA 1.</t>
  </si>
  <si>
    <t>AL-014</t>
  </si>
  <si>
    <t>Grafos: Formas de representação</t>
  </si>
  <si>
    <t>Coberto em PAA 1 (Percursos, Árvore Geradora, Caminho Mínimo), Parcialmente coberto (Coloração de Vértices).</t>
  </si>
  <si>
    <t>AL-015</t>
  </si>
  <si>
    <t>Grafos: Percursos, Árvore Geradora, Caminho Mínimo, Coloração de Vértices</t>
  </si>
  <si>
    <t>Coberto Parcialmente em PAA 1 e 2.</t>
  </si>
  <si>
    <t>AL-017</t>
  </si>
  <si>
    <t>Principais técnicas de resolução de problemas: generalização, decomposição (de processos e dados, tanto em partes quanto em camadas de abstração) e transformação</t>
  </si>
  <si>
    <t xml:space="preserve">Coberto Parcialmente em PAA 1 e 2. </t>
  </si>
  <si>
    <t>AL-018</t>
  </si>
  <si>
    <t>Introdução às principais formas de organizar a informação (registros, listas, árvores, grafos)</t>
  </si>
  <si>
    <t>Mapear para Intro CIC, Proj. 1 e 2</t>
  </si>
  <si>
    <t>Princípios da sistematização da construção de soluções computacionais (documentação, colaboração, análise crítica)</t>
  </si>
  <si>
    <t>Coberto em Pensamento Computacional (?)</t>
  </si>
  <si>
    <t>AL-020</t>
  </si>
  <si>
    <t>Resolução de problemas usando recursão e meta-programação</t>
  </si>
  <si>
    <t>AL-021</t>
  </si>
  <si>
    <t>Introdução a métodos sistemáticos e técnicas de abstração, formulação, codificação, avaliação, e reuso</t>
  </si>
  <si>
    <t>Coberto em Lógica e Correção de Programas.</t>
  </si>
  <si>
    <t>AL-027</t>
  </si>
  <si>
    <t>Lógica Proposicional</t>
  </si>
  <si>
    <t>AL-028</t>
  </si>
  <si>
    <t>Lógica de Predicados</t>
  </si>
  <si>
    <t>AL-029</t>
  </si>
  <si>
    <t>Lógica: Correção, Completude, Decidibilidade</t>
  </si>
  <si>
    <t>AL-030</t>
  </si>
  <si>
    <t>Deduções Lógicas, Padrões de Prova, Provas por Indução</t>
  </si>
  <si>
    <t>AL-031</t>
  </si>
  <si>
    <t>Estudo Sistemático de Técnicas de Prova</t>
  </si>
  <si>
    <t>AL-032</t>
  </si>
  <si>
    <t>Introdução a análise de correção de algoritmos/programas</t>
  </si>
  <si>
    <t>Coberto em Introdução à Ciência da Computação (?)</t>
  </si>
  <si>
    <t>AR-002</t>
  </si>
  <si>
    <t>Notação posicional e conversão de bases</t>
  </si>
  <si>
    <t>Coberto parcialmente em IA (aspectos éticos gerais) e Processamento de Imagens e Visão Computacional</t>
  </si>
  <si>
    <t>CG-041</t>
  </si>
  <si>
    <t>Questões Éticas e Sociais envolvendo Imagens</t>
  </si>
  <si>
    <t>Coberto em Processamento de Imagens e Visão Computacional (?)</t>
  </si>
  <si>
    <t>CG-042</t>
  </si>
  <si>
    <t>Deep Learning para Processamento de Imagens: Introdução, Redes Convolucionais</t>
  </si>
  <si>
    <t>Coberto em Interação Humano-Computador e UX</t>
  </si>
  <si>
    <t>CG-072</t>
  </si>
  <si>
    <t>Design de interação, conceitos básicos, metas de acessibilidade, usabilidade, UX, cognição, percepção, memória, aprendizado</t>
  </si>
  <si>
    <t>CG-073</t>
  </si>
  <si>
    <t>Estilos de interação, metáfora, paradigma</t>
  </si>
  <si>
    <t>CG-075</t>
  </si>
  <si>
    <t>Design de interação: visão geral do processo e metodologias de pesquisa em UX (UX Research)</t>
  </si>
  <si>
    <t>CG-076</t>
  </si>
  <si>
    <t>Análise contextual: modelo do usuários (personas), cenários de uso (jornadas), modelo de tarefas</t>
  </si>
  <si>
    <t>CG-077</t>
  </si>
  <si>
    <t>Projeto e prototipação de interfaces (protótipos de baixa fidelidade, alta fidelidade, protótipos funcionais, prototipação no code e em hardware)</t>
  </si>
  <si>
    <t>CG-078</t>
  </si>
  <si>
    <t>Avaliação de interfaces (técnicas sem usuário)</t>
  </si>
  <si>
    <t>CG-079</t>
  </si>
  <si>
    <t>Avaliação de interfaces (técnicas com usuários: formativas e somativas, implicações éticas e cuidados)</t>
  </si>
  <si>
    <t>CG-080</t>
  </si>
  <si>
    <t>Análise de resultados (qualitativos e quantitativos)</t>
  </si>
  <si>
    <t xml:space="preserve">Coberto de forma parcial, e com outra denominação. em Introdução à Ciência da Computação, Projeto Integrador e TCC. Precisa ainda ser encaixado em Projeto em Ciência e Inovação, </t>
  </si>
  <si>
    <t>CS</t>
  </si>
  <si>
    <t>CS-001</t>
  </si>
  <si>
    <t>Impactos ambientais da Computação e respectivos métodos de avaliação - p.ex. consumo de energia, pegada de carbono, lixo eletrônico.</t>
  </si>
  <si>
    <t>Coberto de forma parcial, e com outra denominação. em Introdução à Ciência da Computação, Projeto Integrador e TCC. Precisa ainda ser encaixado em Projeto em Ciência e Inovação,</t>
  </si>
  <si>
    <t>CS-002</t>
  </si>
  <si>
    <t>Proteção da privacidade e dos dados pessoais em soluções e serviços computacionais - "privacy by design", normas legais</t>
  </si>
  <si>
    <t>CS-003</t>
  </si>
  <si>
    <t>Impactos de soluções e serviços computacionais sobre direitos humanos, como liberdade de expressão</t>
  </si>
  <si>
    <t>CS-004</t>
  </si>
  <si>
    <t>Implicações éticas da Computação e respectivos métodos de avaliação - p.ex. impactos da IA e vieses algorítmicos discriminatórios</t>
  </si>
  <si>
    <t>Coberto de forma parcial, e com outra denominação. em Introdução à Ciência da Computação.</t>
  </si>
  <si>
    <t>CS-005</t>
  </si>
  <si>
    <t>Normas e códigos de conduta profissional</t>
  </si>
  <si>
    <t>Não coberto em nenhuma disciplina obrigatória.</t>
  </si>
  <si>
    <t>CS-006</t>
  </si>
  <si>
    <t>Processos de transformação digital, futuro do emprego e das oportunidades de trabalho</t>
  </si>
  <si>
    <t>CS-007</t>
  </si>
  <si>
    <t>Introdução aos instrumentos de direitos humanos</t>
  </si>
  <si>
    <t>CS-011</t>
  </si>
  <si>
    <t>Questões de licenças de software e creative commons, uso legal de software de código aberto, copyleft, direitos autorais, atribuição</t>
  </si>
  <si>
    <t>EM-001</t>
  </si>
  <si>
    <t>Conceitos de inovação e empreendedorismo</t>
  </si>
  <si>
    <t>EM-002</t>
  </si>
  <si>
    <t>Modelos de negócios inovadores</t>
  </si>
  <si>
    <t>EM-003</t>
  </si>
  <si>
    <t>Metodologias para criação de soluções inovadoras, p.ex. design thinking</t>
  </si>
  <si>
    <t>EM-004</t>
  </si>
  <si>
    <t>Metodologias para elaboração de modelos de negócios inovadores</t>
  </si>
  <si>
    <t>Precisa ainda ser encaixado, possivelmente em Projeto Integrador</t>
  </si>
  <si>
    <t>EM-005</t>
  </si>
  <si>
    <t>Metodologias para implementação de soluções como modelos de negócios inovadores, p.ex. lean startup</t>
  </si>
  <si>
    <t>Precisa ainda ser encaixado, possivelmente em Projeto em Ciência e Inovação e/ou Projeto Integrador.</t>
  </si>
  <si>
    <t>EM-006</t>
  </si>
  <si>
    <t>Ferramentas para elaboração de modelos de negócios inovadores</t>
  </si>
  <si>
    <t>EM-007</t>
  </si>
  <si>
    <t>Técnicas para análise de mercado, p.ex. pesquisas qualitativas e quantitativas, análise SWOT</t>
  </si>
  <si>
    <t>EM-008</t>
  </si>
  <si>
    <t>Planejamento financeiro de empreendimentos inovadores</t>
  </si>
  <si>
    <t>EM-009</t>
  </si>
  <si>
    <t>Técnicas de apresentação e divulgação de empreendimentos inovadores</t>
  </si>
  <si>
    <t>EM-011</t>
  </si>
  <si>
    <t>ESG e negócios de impacto socioambiental</t>
  </si>
  <si>
    <t>EM-015</t>
  </si>
  <si>
    <t>Ética e responsabilidade em negócios</t>
  </si>
  <si>
    <t>IA-014</t>
  </si>
  <si>
    <t>Transparência e Explicabilidade em sistemas de IA</t>
  </si>
  <si>
    <t>Coberto parcialmente em Processamento de Imagens e Visão Computacional (?)</t>
  </si>
  <si>
    <t>IA-021</t>
  </si>
  <si>
    <t>Processamento de imagens com redes neurais (e.g. Redes Convolucionais)</t>
  </si>
  <si>
    <t>Expandido</t>
  </si>
  <si>
    <t>Proposta (Anderson) RNNs será coberto em IA ou ML (a definir) e Transformers em PLN</t>
  </si>
  <si>
    <t>IA-022</t>
  </si>
  <si>
    <t>Processamento de sequências com redes neurais (e.g. RNNs e Transformers)</t>
  </si>
  <si>
    <t>Proposta (Anderson): mudar p/ Eletivo</t>
  </si>
  <si>
    <t>IA-048</t>
  </si>
  <si>
    <t>CD: Modelos de ciclo de vida de projetos (e.g. CRISP-DM)</t>
  </si>
  <si>
    <t>IA-052</t>
  </si>
  <si>
    <t>Conceitos gerais de engenharia de conhecimento e sistemas baseados em conhecimento</t>
  </si>
  <si>
    <t>LP-001</t>
  </si>
  <si>
    <t>Léxica: Análise Léxica (ERs, Construção de Thompson, Alg. de Subconjuntos, AFD)</t>
  </si>
  <si>
    <t>LP-002</t>
  </si>
  <si>
    <t>GLCs, como escrever GLC, Transformações gramaticais, primeiro/sequência</t>
  </si>
  <si>
    <t>LP-003</t>
  </si>
  <si>
    <t>Análise Sintática Ascendente LR(0), SLR(1), LR(1), LALR(1), autômatos, conflitos</t>
  </si>
  <si>
    <t>LP-004</t>
  </si>
  <si>
    <t>Análise Sintática Descendente LL(1), Construção da Tabela LL(1), Erros</t>
  </si>
  <si>
    <t>LP-005</t>
  </si>
  <si>
    <t>AST, Tradução Dirigida pela Sintaxe, Ordem de Avaliação, Esquemas L e S-Atribuídos</t>
  </si>
  <si>
    <t>LP-006</t>
  </si>
  <si>
    <t>Tradução: escopo, declaração, endereçamento de variáveis, aritmética e lógica</t>
  </si>
  <si>
    <t>LP-007</t>
  </si>
  <si>
    <t>Tradução: comandos de controle de fluxo, chamada de função, passagem de pars.</t>
  </si>
  <si>
    <t>LP-009</t>
  </si>
  <si>
    <t>Geração de código de máquina, alocação de registradores (coloração de grafo)</t>
  </si>
  <si>
    <t>LP-010</t>
  </si>
  <si>
    <t>Otimização (local, global), grafos de fluxo de controle, blocos básicos</t>
  </si>
  <si>
    <t>Grupo de LP não considerou essencial</t>
  </si>
  <si>
    <t>LP-011</t>
  </si>
  <si>
    <t>Paradigmas e modelos de programação e suas características, propriedades e mecanismos computacionais (funcional, OO, lógico, imperativo, declarativo)</t>
  </si>
  <si>
    <t>LP-012</t>
  </si>
  <si>
    <t>Definição e gerência de escopo; declarações e definições, vinculações (propriedades)</t>
  </si>
  <si>
    <t>LP-013</t>
  </si>
  <si>
    <t>Sistemas de tipos simples, construtores de tipos, polimorfismo paramétrico, tipagem implícita,tiagem explícita</t>
  </si>
  <si>
    <t>LP-014</t>
  </si>
  <si>
    <t>Verificação de tipos e inferência de tipos</t>
  </si>
  <si>
    <t>LP-017</t>
  </si>
  <si>
    <t>Expressões e Operadores (tipos, efeitos colaterais), comandos de controle de fluxo</t>
  </si>
  <si>
    <t>LP-018</t>
  </si>
  <si>
    <t>Definição e controle de execução de subrotinas, controle de escopo/pilha, alocação de variáveis e parâmetros</t>
  </si>
  <si>
    <t>LP-019</t>
  </si>
  <si>
    <t>Passagem de parâmetros (semântica de operação, modos de operação).</t>
  </si>
  <si>
    <t>LP-020</t>
  </si>
  <si>
    <t>Estilos de semântica operacional: small step, big step com ambientes</t>
  </si>
  <si>
    <t>LP-021</t>
  </si>
  <si>
    <t>Indução estrutural, prova por indução estrutural de propriedades de linguagens</t>
  </si>
  <si>
    <t>LP-022</t>
  </si>
  <si>
    <t>Hierarquia de Chomsky</t>
  </si>
  <si>
    <t>MA</t>
  </si>
  <si>
    <t>MA-005</t>
  </si>
  <si>
    <t>Recorrências: definição, classificação e técnicas de resolução (resolução de recorrências lineares, resolução via funções geradoras ordinárias e exponenciais)</t>
  </si>
  <si>
    <t>Coberto em PAA 1 e 2 (definição, variações, principais problemas associados), Parcialmente coberto (classificação).</t>
  </si>
  <si>
    <t>MA-006</t>
  </si>
  <si>
    <t>Grafos: definição, variações (grafos direcionados, com pesos nas arestas), classificação (euleriano, hamiltoniano, árvore), e principais problemas associados (distância, árvore geradora mínima, coloração, etc.)</t>
  </si>
  <si>
    <t>Coberto em Processamento de Imagens e Visão Computacional e PAA 1 (FFT)</t>
  </si>
  <si>
    <t>MA-014</t>
  </si>
  <si>
    <t>Séries de Fourier, Transformada de Fourier e Transformada rápida de Fourier, com ênfase nas respectivas variantes discretas.</t>
  </si>
  <si>
    <t>PE-015</t>
  </si>
  <si>
    <t>Linguagens de programação para web (e.g., JavaScript, HTML5, CSS)</t>
  </si>
  <si>
    <t>PE-016</t>
  </si>
  <si>
    <t>Arquiteturas (front-end, backend), Componentes WEB, APIs</t>
  </si>
  <si>
    <t>PE-018</t>
  </si>
  <si>
    <t>Analisando requisitos e modelando aplicações web</t>
  </si>
  <si>
    <t>PE-019</t>
  </si>
  <si>
    <t>Padrões web (e.g. DOM, JSON, AJAX) e padrões arquiteturais (MVC, MVVP, MVC)</t>
  </si>
  <si>
    <t>Coberto em Intro CIC e Segurança (?)</t>
  </si>
  <si>
    <t>PE-021</t>
  </si>
  <si>
    <t>Considerações de Segurança e Privacidade</t>
  </si>
  <si>
    <t>PE-022</t>
  </si>
  <si>
    <t>Plataformas, características de hardware, exemplos de uso, distribuição de aplicativos (modelo de negócio)</t>
  </si>
  <si>
    <t>PE-023</t>
  </si>
  <si>
    <t>Prototipação e desenvolvimento de aplicativos usando ferramentos no-code, ambientes cross-platform, linguagens de programação e frameworks para plataformas móveis</t>
  </si>
  <si>
    <t>PE-024</t>
  </si>
  <si>
    <t>Compartilhamento de informações entre aplicativos e entre dispositivos</t>
  </si>
  <si>
    <t>Coberto em Interação Humano-Computador e UX (?)</t>
  </si>
  <si>
    <t>PE-025</t>
  </si>
  <si>
    <t>Regras e recomendações para o projeto de interfaces com o usuário</t>
  </si>
  <si>
    <t>Coberto em ES (?)</t>
  </si>
  <si>
    <t>SE-012</t>
  </si>
  <si>
    <t>Validação de entrada e sanitização de dados</t>
  </si>
  <si>
    <t>Coberto em LP2 (?)</t>
  </si>
  <si>
    <t>SE-013</t>
  </si>
  <si>
    <t>Escolha da linguagem de programação e linguagens de tipo seguro</t>
  </si>
  <si>
    <t>Coberto em SisOp (?)</t>
  </si>
  <si>
    <t>SE-014</t>
  </si>
  <si>
    <t>Condições de corrida</t>
  </si>
  <si>
    <t>SE-015</t>
  </si>
  <si>
    <t>Tratamento correto de exceções e comportamentos inesperados</t>
  </si>
  <si>
    <t>Coberto em MatDisc</t>
  </si>
  <si>
    <t>SE-017</t>
  </si>
  <si>
    <t>Gerando aleatoriedade corretamente para fins de segurança</t>
  </si>
  <si>
    <t>SE-018</t>
  </si>
  <si>
    <t>Análise estática e análise dinâmica</t>
  </si>
  <si>
    <t>Coberto em LP2 (?) / Lógica e Correção de Programas (?)</t>
  </si>
  <si>
    <t>SE-019</t>
  </si>
  <si>
    <t>Verificação de programas</t>
  </si>
  <si>
    <t>SE-020</t>
  </si>
  <si>
    <t>Suporte de segurança no sistema operacional</t>
  </si>
  <si>
    <t>Conteúdo será alterado para "eletivo"</t>
  </si>
  <si>
    <t>SE-021</t>
  </si>
  <si>
    <t>Suporte de segurança em hardware</t>
  </si>
  <si>
    <t>Coberta em Redes</t>
  </si>
  <si>
    <t>SE-028</t>
  </si>
  <si>
    <t>Ameaças específicas de rede e tipos de ataque</t>
  </si>
  <si>
    <t>Coberta em CiberSegurança</t>
  </si>
  <si>
    <t>SE-029</t>
  </si>
  <si>
    <t>Criptografia para segurança de dados e rede</t>
  </si>
  <si>
    <t>Conteúdo será alterado para "eletivo" e será coberto pela disciplina Segurança de Redes (PPGC)</t>
  </si>
  <si>
    <t>SE-030</t>
  </si>
  <si>
    <t>Arquiteturas para redes seguras</t>
  </si>
  <si>
    <t>SE-031</t>
  </si>
  <si>
    <t>Mecanismos de defesa de redes e contramedidas</t>
  </si>
  <si>
    <t>SE-038</t>
  </si>
  <si>
    <t>Preliminares Matemáticas para Criptografia</t>
  </si>
  <si>
    <t>Coberto em Seg</t>
  </si>
  <si>
    <t>SE-039</t>
  </si>
  <si>
    <t>Primitivas criptográficas</t>
  </si>
  <si>
    <t>Coberto em PAA 2.</t>
  </si>
  <si>
    <t>SE-041</t>
  </si>
  <si>
    <t>Funções de hash</t>
  </si>
  <si>
    <t>SE-064</t>
  </si>
  <si>
    <t>Construindo segurança no ciclo de vida de desenvolvimento de software</t>
  </si>
  <si>
    <t>SE-065</t>
  </si>
  <si>
    <t>Princípios e padrões de design seguro</t>
  </si>
  <si>
    <t>SE-066</t>
  </si>
  <si>
    <t>Especificações e requisitos de software seguro</t>
  </si>
  <si>
    <t>SE-067</t>
  </si>
  <si>
    <t>Práticas seguras de desenvolvimento de software</t>
  </si>
  <si>
    <t>SE-068</t>
  </si>
  <si>
    <t>Garantia de qualidade de software e medições de benchmarking</t>
  </si>
  <si>
    <t>NAO ESTA COBERTO (discussao sobre arquivos)</t>
  </si>
  <si>
    <t>GD-001</t>
  </si>
  <si>
    <t>Estruturas e Organizações de Arquivos de Dados e de Índice</t>
  </si>
  <si>
    <t>GD-015</t>
  </si>
  <si>
    <t>SGBD: visao geral</t>
  </si>
  <si>
    <t>Modelo conceitual (nao esta coberto). Pulou para projeto.</t>
  </si>
  <si>
    <t>GD-016</t>
  </si>
  <si>
    <t>Modelo de dados: conceitual, lógico</t>
  </si>
  <si>
    <t>GD-018</t>
  </si>
  <si>
    <t>Projeto de Base de Dados Lógico</t>
  </si>
  <si>
    <t>GD-020</t>
  </si>
  <si>
    <t>Modelo Relacional: conceitos</t>
  </si>
  <si>
    <t>GD-021</t>
  </si>
  <si>
    <t>Linguagem de Definição/Manipulacao de Dados</t>
  </si>
  <si>
    <t>GD-022</t>
  </si>
  <si>
    <t>Normalizacao</t>
  </si>
  <si>
    <t>GD-023</t>
  </si>
  <si>
    <t>Algebra Relacional</t>
  </si>
  <si>
    <t>GD-024</t>
  </si>
  <si>
    <t>Consultas em SQL: Básicas, Avançadas</t>
  </si>
  <si>
    <t>GD-025</t>
  </si>
  <si>
    <t>Visao</t>
  </si>
  <si>
    <t>GD-026</t>
  </si>
  <si>
    <t>Procedimento Armazenado, Gatilho</t>
  </si>
  <si>
    <t>GD-027</t>
  </si>
  <si>
    <t>Transacao: conceitos, propriedades, niveis de isolamento</t>
  </si>
  <si>
    <t>GD-031</t>
  </si>
  <si>
    <t>Autorizacao</t>
  </si>
  <si>
    <t>Descrição do Conteúdo</t>
  </si>
  <si>
    <t>AL-001</t>
  </si>
  <si>
    <t>Noção de algoritmo, dado, variável, instrução e programa.</t>
  </si>
  <si>
    <t>4</t>
  </si>
  <si>
    <t>AL-002</t>
  </si>
  <si>
    <t>Construções básicas: tipos de dados atribuição, leitura e escrita.</t>
  </si>
  <si>
    <t>AL-003</t>
  </si>
  <si>
    <t>Estruturas de controle: sequência, seleção e iteração.</t>
  </si>
  <si>
    <t>20</t>
  </si>
  <si>
    <t>AL-004</t>
  </si>
  <si>
    <t>Tipos estruturados básicos: vetores, matrizes registros e strings</t>
  </si>
  <si>
    <t>18</t>
  </si>
  <si>
    <t>AL-005</t>
  </si>
  <si>
    <t>Subprogramas: funções, procedimentos, ponteiros e recursão</t>
  </si>
  <si>
    <t>24</t>
  </si>
  <si>
    <t>AL-006</t>
  </si>
  <si>
    <t>Arquivos</t>
  </si>
  <si>
    <t>12</t>
  </si>
  <si>
    <t>AL-007</t>
  </si>
  <si>
    <t>Tipos Abstratos de Dados</t>
  </si>
  <si>
    <t>2</t>
  </si>
  <si>
    <t>AL-008</t>
  </si>
  <si>
    <t>Listas, Pilhas, Filas e Deques</t>
  </si>
  <si>
    <t>14</t>
  </si>
  <si>
    <t>AL-009</t>
  </si>
  <si>
    <t>Árvores: Binárias, Binárias de Pesquisa, Balanceadas, B, B+</t>
  </si>
  <si>
    <t>10</t>
  </si>
  <si>
    <t>Estruturas de arquivos?</t>
  </si>
  <si>
    <t>AL-011</t>
  </si>
  <si>
    <t>Tabela Hash</t>
  </si>
  <si>
    <t>AL-012</t>
  </si>
  <si>
    <t>Algoritmos de Ordenação (inserção, seleção, trocas, intercalação)</t>
  </si>
  <si>
    <t>16</t>
  </si>
  <si>
    <t>AL-013</t>
  </si>
  <si>
    <t>Strings: Árvores Digitais, Arquivo invertido, compressão de texto</t>
  </si>
  <si>
    <t>8</t>
  </si>
  <si>
    <t>AL-016</t>
  </si>
  <si>
    <t>Definição de problemas, algoritmos e pensamento computacional</t>
  </si>
  <si>
    <t>AL-022</t>
  </si>
  <si>
    <t>Modelos de Recuperação de Informação (booleano, vetorial e probabilístico)</t>
  </si>
  <si>
    <t>6</t>
  </si>
  <si>
    <t>AL-023</t>
  </si>
  <si>
    <t>Métricas de Avaliação de Recuperação de informação</t>
  </si>
  <si>
    <t>AL-024</t>
  </si>
  <si>
    <t>Recuperação de informação na Web (crawling, algoritmos de ranking)</t>
  </si>
  <si>
    <t>AL-025</t>
  </si>
  <si>
    <t>Funções de similaridade de strings (distância de edição, Jaccard, cosseno)</t>
  </si>
  <si>
    <t>AL-026</t>
  </si>
  <si>
    <t>Algoritmos Geométricos e Estruturas de Dados Espaciais/Multidimensionais</t>
  </si>
  <si>
    <t>AR-001</t>
  </si>
  <si>
    <t>História da computação e das arquiteturas de computadores</t>
  </si>
  <si>
    <t>Essencial 2</t>
  </si>
  <si>
    <t>AR-003</t>
  </si>
  <si>
    <t>Sistemas de numeração (números sem sinal, sinal-magnitude, complemento de B)</t>
  </si>
  <si>
    <t>AR-004</t>
  </si>
  <si>
    <t>Ponto fixo e ponto flutuante</t>
  </si>
  <si>
    <t>AR-005</t>
  </si>
  <si>
    <t>Lógica combinacional (portas lógicas, operadores aritméticos, multiplexadores, decodificadores)</t>
  </si>
  <si>
    <t>AR-006</t>
  </si>
  <si>
    <t>Lógica sequencial (flip-flops, registradores, contadores)</t>
  </si>
  <si>
    <t>AR-007</t>
  </si>
  <si>
    <t>Máquinas de estados finitas (Mealy, Moore, projeto e implementação)</t>
  </si>
  <si>
    <t>AR-008</t>
  </si>
  <si>
    <t>Caminho de dados e bloco de controle</t>
  </si>
  <si>
    <t>AR-009</t>
  </si>
  <si>
    <t>Expressões lógicas e minimização de lógica Booleana (lógica de dois níveis e multi-nível)</t>
  </si>
  <si>
    <t>AR-010</t>
  </si>
  <si>
    <t>Arquitetura de von Neumann (componentes básicos, ciclo de busca-decodificação-execução)</t>
  </si>
  <si>
    <t>AR-011</t>
  </si>
  <si>
    <t>Arquiteturas de conjunto de instruções (instruções, formatos de instruções, modos de endereçamento)</t>
  </si>
  <si>
    <t>AR-012</t>
  </si>
  <si>
    <t>Programação em linguagem de montagem</t>
  </si>
  <si>
    <t>AR-013</t>
  </si>
  <si>
    <t>Mecanismos de chamada de sub-rotinas e de interrupção</t>
  </si>
  <si>
    <t>AR-014</t>
  </si>
  <si>
    <t>Métricas e propriedades de memórias (vazão, latência, custo, consumo de energia, volatilidade, durabilidade)</t>
  </si>
  <si>
    <t>AR-015</t>
  </si>
  <si>
    <t>Tecnologias de memórias (SRAM, DRAM, Flash, memórias magnéticas)</t>
  </si>
  <si>
    <t>AR-016</t>
  </si>
  <si>
    <t>Princípios de localidade (espacial, temporal)</t>
  </si>
  <si>
    <t>AR-017</t>
  </si>
  <si>
    <t>Memórias cache (objetivos, funcionamento, organização, implementação, avaliação, otimizações, coerência)</t>
  </si>
  <si>
    <t>AR-018</t>
  </si>
  <si>
    <t>Memória virtual (objetivos, funcionamento, organização, implementação, avaliação)</t>
  </si>
  <si>
    <t>AR-019</t>
  </si>
  <si>
    <t>Entrada e saída (dispositivos, entrada e saída programada, por interrupção, mapeamento em memória, barramentos, acesso direto à memória)</t>
  </si>
  <si>
    <t>AR-020</t>
  </si>
  <si>
    <t>Organizações de processadores (monociclo, multiciclo, pipeline, superescalaridade, taxonomia de Flynn, exemplos)</t>
  </si>
  <si>
    <t>AR-021</t>
  </si>
  <si>
    <t>Avaliação de desempenho de arquiteturas e organizações (conjuntos de programas de benchmark, ferramentas de simulação arquiteturais e de organização)</t>
  </si>
  <si>
    <t>AR-022</t>
  </si>
  <si>
    <t>Técnicas e arquiteturas avançadas (e.g., clock e power gating, DVFS, execução fora de ordem e especulativa, predição de desvios, etc.)</t>
  </si>
  <si>
    <t>45</t>
  </si>
  <si>
    <t>AR-023</t>
  </si>
  <si>
    <t>Arquiteturas multicore, específicas e/ou heterogeneas (DSPs, GPUs, MPSoCs, aceleradores de propósito específico em ASIC ou FPGA, arquiteturas de warehouses)</t>
  </si>
  <si>
    <t>AR-024</t>
  </si>
  <si>
    <t>Novos paradigmas de computação (computação quântica, computação em memória, lógicas não-binárias, arquiteturas não-von Neumann)</t>
  </si>
  <si>
    <t>60</t>
  </si>
  <si>
    <t>Automação de Projeto de Sistemas Digitais (problemas, algoritmos e ferramentas de síntese e análise; síntese física, lógica e de alto nível; simulação e verificação formal)</t>
  </si>
  <si>
    <t>AR-026</t>
  </si>
  <si>
    <t>Otimização de requisitos no projeto de hardware (energia, potência, desempenho, área etc)</t>
  </si>
  <si>
    <t>CG-001</t>
  </si>
  <si>
    <t>Aplicações de Computação Gráfica</t>
  </si>
  <si>
    <t>1</t>
  </si>
  <si>
    <t>CG-002</t>
  </si>
  <si>
    <t>Transformações Geométricas (Lineares, Afins, Projetivas), Sistemas de Coordenadas, Coordenadas Homogêneas, Transf. Hierárquicas</t>
  </si>
  <si>
    <t>11</t>
  </si>
  <si>
    <t>CG-003</t>
  </si>
  <si>
    <t>Pipeline Gráfico</t>
  </si>
  <si>
    <t>7</t>
  </si>
  <si>
    <t>CG-004</t>
  </si>
  <si>
    <t>Modelagem e Processamento Geométrico</t>
  </si>
  <si>
    <t>5</t>
  </si>
  <si>
    <t>CG-005</t>
  </si>
  <si>
    <t>Uso de APIs Gráficas, Programas de GPUs</t>
  </si>
  <si>
    <t>CG-006</t>
  </si>
  <si>
    <t>Mapeamento de Texturas</t>
  </si>
  <si>
    <t>CG-007</t>
  </si>
  <si>
    <t>Modelos de Iluminação e Modelos de Shading</t>
  </si>
  <si>
    <t>CG-008</t>
  </si>
  <si>
    <t>Ray Tracing, Monte Carlo Path Tracing, Transporte de Luz, Equação de Rendering, Iluminação Global</t>
  </si>
  <si>
    <t>CG-009</t>
  </si>
  <si>
    <t>Animação, Testes de Intersecção Geométrica (Aumento na Carga Horária)</t>
  </si>
  <si>
    <t>CG-010</t>
  </si>
  <si>
    <t>Uso eficiente do hardware (CPU e GPU) em aplicações gráficas interativas e de tempo real (Novo)</t>
  </si>
  <si>
    <t>CG-011</t>
  </si>
  <si>
    <t>Amostragem e Filtragem, Antialiasing (Atualmente Eletivo)</t>
  </si>
  <si>
    <t>CG-012</t>
  </si>
  <si>
    <t>Algoritmos de Sombras (Atualmente Eletivo)</t>
  </si>
  <si>
    <t>CG-013</t>
  </si>
  <si>
    <t>Machine Learning em Computação Gráfica (Novo)</t>
  </si>
  <si>
    <t>CG-014</t>
  </si>
  <si>
    <t>Real-Time Rendering Techniques</t>
  </si>
  <si>
    <t>3</t>
  </si>
  <si>
    <t>CG-015</t>
  </si>
  <si>
    <t>Interpolação Perspectivamente Correta</t>
  </si>
  <si>
    <t>CG-016</t>
  </si>
  <si>
    <t>Quaternions e Sequências de Rotação</t>
  </si>
  <si>
    <t>CG-017</t>
  </si>
  <si>
    <t>Rendering Avançado</t>
  </si>
  <si>
    <t>CG-018</t>
  </si>
  <si>
    <t>Modelagem e Processamento Geométrico: Tópicos Avançados</t>
  </si>
  <si>
    <t>CG-019</t>
  </si>
  <si>
    <t>Composição de Imagens (eg, Alpha Blending, Premultiplied Alpha, Gamma Correction, Linear vs Non-Linear Space)</t>
  </si>
  <si>
    <t>CG-020</t>
  </si>
  <si>
    <t>Differentiable Rendering, Inverse Rendering, Neural Radiance Fields</t>
  </si>
  <si>
    <t>CG-021</t>
  </si>
  <si>
    <t>Computer Aided Manufacturing, Fabrication (eg, 3D Printing, CNC)</t>
  </si>
  <si>
    <t>CG-022</t>
  </si>
  <si>
    <t>Abstração de dados e tarefas no contexto de visualização de informações</t>
  </si>
  <si>
    <t>CG-023</t>
  </si>
  <si>
    <t>Percepção visual e aspectos cognitivos da visualização (e.g.,princípios de Gestalt, conceitos de atenção e pré-atenção)</t>
  </si>
  <si>
    <t>CG-024</t>
  </si>
  <si>
    <t>Codificação visual, codificação e arranjos espaciais</t>
  </si>
  <si>
    <t>CG-025</t>
  </si>
  <si>
    <t>Visualização de dados quantitativos e categóricos</t>
  </si>
  <si>
    <t>CG-026</t>
  </si>
  <si>
    <t>Visualização de dados hierárquicos</t>
  </si>
  <si>
    <t>CG-027</t>
  </si>
  <si>
    <t>Visualização de dados grafos (incluindo grafos multivariados)</t>
  </si>
  <si>
    <t>CG-028</t>
  </si>
  <si>
    <t>Visualização de dados espaciais</t>
  </si>
  <si>
    <t>CG-029</t>
  </si>
  <si>
    <t>Visualização de dados multidimensionais</t>
  </si>
  <si>
    <t>CG-030</t>
  </si>
  <si>
    <t>Modelos de interação com representações visuais de informações</t>
  </si>
  <si>
    <t>CG-031</t>
  </si>
  <si>
    <t>Percepção Visual e Modalidades de Imagens</t>
  </si>
  <si>
    <t>CG-032</t>
  </si>
  <si>
    <t>Transformações Pontuais sobre Imagens</t>
  </si>
  <si>
    <t>CG-033</t>
  </si>
  <si>
    <t>Equalização de Histograma e Outras Transformações Não Lineares</t>
  </si>
  <si>
    <t>CG-034</t>
  </si>
  <si>
    <t>Transformada da Fourier</t>
  </si>
  <si>
    <t>CG-035</t>
  </si>
  <si>
    <t>Filtragem de Imagens nos Domínios Espaço e Frequência, Convolução</t>
  </si>
  <si>
    <t>CG-036</t>
  </si>
  <si>
    <t>Teorema da Amostragem e Teorema da Convolução</t>
  </si>
  <si>
    <t>CG-037</t>
  </si>
  <si>
    <t>Restauração de Imagens</t>
  </si>
  <si>
    <t>CG-038</t>
  </si>
  <si>
    <t>Segmentação de Imagens</t>
  </si>
  <si>
    <t>CG-039</t>
  </si>
  <si>
    <t>Compressão de Imagens e Vídeos, Algoritmo JPEG</t>
  </si>
  <si>
    <t>CG-040</t>
  </si>
  <si>
    <t>Espaços de Cores, HDR, Tone Mapping</t>
  </si>
  <si>
    <t>CG-043</t>
  </si>
  <si>
    <t>Transformações Geométricas de Imagens</t>
  </si>
  <si>
    <t>CG-044</t>
  </si>
  <si>
    <t>Aquisição de Imagens, Anatomia de Câmeras Digitais</t>
  </si>
  <si>
    <t>CG-045</t>
  </si>
  <si>
    <t>Deep Learning para Processamento de Imagens: Uso Avançado (eg, Modelos Generativos de Imagens)</t>
  </si>
  <si>
    <t>CG-046</t>
  </si>
  <si>
    <t>Outras Transformadas de Imagens</t>
  </si>
  <si>
    <t>CG-047</t>
  </si>
  <si>
    <t>Composição de Imagens: Algoritmos Avançados</t>
  </si>
  <si>
    <t>CG-048</t>
  </si>
  <si>
    <t>Representação Multi-escala: Pirâmides Gaussiana e Laplaciana</t>
  </si>
  <si>
    <t>CG-049</t>
  </si>
  <si>
    <t>Filtragem com Preservação de Arestas</t>
  </si>
  <si>
    <t>CG-050</t>
  </si>
  <si>
    <t>Light Fields e Câmeras Plenópticas</t>
  </si>
  <si>
    <t>CG-051</t>
  </si>
  <si>
    <t>Fotografia Codificada</t>
  </si>
  <si>
    <t>CG-052</t>
  </si>
  <si>
    <t>Modelos de câmera; Parâmetros instrísecos e extrínsecos; Calibração</t>
  </si>
  <si>
    <t>CG-053</t>
  </si>
  <si>
    <t>Estereoscopia, Multi-view Stereo e Structure from Motion</t>
  </si>
  <si>
    <t>CG-054</t>
  </si>
  <si>
    <t>Fluxo Ótico e Rastreamento de Objetos</t>
  </si>
  <si>
    <t>CG-055</t>
  </si>
  <si>
    <t>Classificação de imagens</t>
  </si>
  <si>
    <t>CG-056</t>
  </si>
  <si>
    <t>Detecção de objetos</t>
  </si>
  <si>
    <t>CG-057</t>
  </si>
  <si>
    <t>Deep Learning para Visão Computacional</t>
  </si>
  <si>
    <t>9</t>
  </si>
  <si>
    <t>CG-058</t>
  </si>
  <si>
    <t>Detecção e codificação de pontos-chave (keypoints)</t>
  </si>
  <si>
    <t>CG-059</t>
  </si>
  <si>
    <t>Representação e análise de formas</t>
  </si>
  <si>
    <t>CG-060</t>
  </si>
  <si>
    <t>Representação e análise de texturas</t>
  </si>
  <si>
    <t>CG-061</t>
  </si>
  <si>
    <t>Segmentação de Imagens: Algoritmos Avançados (eg, Graph Cuts, Watershed)</t>
  </si>
  <si>
    <t>CG-062</t>
  </si>
  <si>
    <t>Processamento de Nuvens de Pontos</t>
  </si>
  <si>
    <t>CG-063</t>
  </si>
  <si>
    <t>Conceito de metaverso: histórico, expectativas, tecnologias envolvidas, exemplos, modelo de negócio, implicações éticas</t>
  </si>
  <si>
    <t>CG-064</t>
  </si>
  <si>
    <t>Realidade virtual e realidade aumentada, conceito de presença e imersão, motion sickness</t>
  </si>
  <si>
    <t>CG-065</t>
  </si>
  <si>
    <t>Dispositivos para realidade virtual e aumentada</t>
  </si>
  <si>
    <t>CG-066</t>
  </si>
  <si>
    <t>Construção de mundos virtuais usando recursos gráficos de alto nível com Web3D, engines gráficas, etc.</t>
  </si>
  <si>
    <t>CG-067</t>
  </si>
  <si>
    <t>Interação 3D</t>
  </si>
  <si>
    <t>CG-068</t>
  </si>
  <si>
    <t>Interação em háptica</t>
  </si>
  <si>
    <t>CG-069</t>
  </si>
  <si>
    <t>Simuladores imersivos e jogos sérios</t>
  </si>
  <si>
    <t>CG-070</t>
  </si>
  <si>
    <t>Immersive analytics (uso de realidade virtual e aumentada como suporte à visualização de informações)</t>
  </si>
  <si>
    <t>CG-071</t>
  </si>
  <si>
    <t>Aplicações na medicina, treinamento, entretenimento, etc.</t>
  </si>
  <si>
    <t>CG-074</t>
  </si>
  <si>
    <t>Interação com dispositivos móveis</t>
  </si>
  <si>
    <t>CG-081</t>
  </si>
  <si>
    <t>Interfaces conversacionais (chatbots e interfaces de voz)</t>
  </si>
  <si>
    <t>CG-082</t>
  </si>
  <si>
    <t>UX Analytics</t>
  </si>
  <si>
    <t>CG-083</t>
  </si>
  <si>
    <t>Interfaces baseadas em dashboards interativos</t>
  </si>
  <si>
    <t>CO</t>
  </si>
  <si>
    <t>CO-001</t>
  </si>
  <si>
    <t>Linguagens regulares, autômatos finitos e expressões regulares</t>
  </si>
  <si>
    <t>CO-002</t>
  </si>
  <si>
    <t>Linguagens livres de contexto, autômatos com pilha e gramáticas livres de contexto</t>
  </si>
  <si>
    <t>CO-003</t>
  </si>
  <si>
    <t>CO-004</t>
  </si>
  <si>
    <t>Máquinas de Turing e suas variantes (não determinismo, múltiplas fitas, etc.)</t>
  </si>
  <si>
    <t>CO-005</t>
  </si>
  <si>
    <t>Máquinas de Registradores</t>
  </si>
  <si>
    <t>CO-006</t>
  </si>
  <si>
    <t>Cálculo Lambda</t>
  </si>
  <si>
    <t>CO-007</t>
  </si>
  <si>
    <t>Tese de Church-Turing</t>
  </si>
  <si>
    <t>CO-008</t>
  </si>
  <si>
    <t>Indecidibilidade de problemas e redutibilidade</t>
  </si>
  <si>
    <t>CO-009</t>
  </si>
  <si>
    <t>Classes de complexidade de problemas (P, NP, PSPACE...)</t>
  </si>
  <si>
    <t>CO-010</t>
  </si>
  <si>
    <t>Projeto de algoritmos: análise assintótica</t>
  </si>
  <si>
    <t>CO-011</t>
  </si>
  <si>
    <t>Projeto de algoritmos: recorrências</t>
  </si>
  <si>
    <t>CO-012</t>
  </si>
  <si>
    <t>Projeto de algoritmos: divisão e conquista</t>
  </si>
  <si>
    <t>CO-013</t>
  </si>
  <si>
    <t>Projeto de algoritmos: algoritmos gulosos</t>
  </si>
  <si>
    <t>CO-014</t>
  </si>
  <si>
    <t>Projeto de algoritmos: programação dinâmica</t>
  </si>
  <si>
    <t>CO-015</t>
  </si>
  <si>
    <t>Grafos: conceitos e principais problemas associados e algoritmos conhecidos</t>
  </si>
  <si>
    <t>CO-016</t>
  </si>
  <si>
    <t>Projeto de algoritmos: aproximação</t>
  </si>
  <si>
    <t>CO-017</t>
  </si>
  <si>
    <t>Projeto de algoritmos: fluxos e emparelhamentos</t>
  </si>
  <si>
    <t>CO-018</t>
  </si>
  <si>
    <t>Projeto de algoritmos: randomização</t>
  </si>
  <si>
    <t>CO-019</t>
  </si>
  <si>
    <t>Projeto de algoritmos: busca exaustiva</t>
  </si>
  <si>
    <t>CO-020</t>
  </si>
  <si>
    <t>Projeto de algoritmos: busca local</t>
  </si>
  <si>
    <t>CO-021</t>
  </si>
  <si>
    <t>Projeto de algoritmos: programação linear e inteira</t>
  </si>
  <si>
    <t>CS-008</t>
  </si>
  <si>
    <t>Inclusão digital</t>
  </si>
  <si>
    <t>CS-009</t>
  </si>
  <si>
    <t>Questões legislativas e regulatórias e políticas públicas relacionadas ao desenvolvimento e ao uso de soluções computacionais</t>
  </si>
  <si>
    <t>CS-010</t>
  </si>
  <si>
    <t>Introdução a teorias éticas</t>
  </si>
  <si>
    <t>EM-010</t>
  </si>
  <si>
    <t>Ecossistema de inovação e empreendedorismo – startups, investidores, ambientes de inovação, etc</t>
  </si>
  <si>
    <t>EM-012</t>
  </si>
  <si>
    <t>Gestão da inovação - propriedade intelectual, marcas e patentes, registro de software, inovação aberta</t>
  </si>
  <si>
    <t>EM-013</t>
  </si>
  <si>
    <t>Mecanismos de captação de fontes de capital</t>
  </si>
  <si>
    <t>EM-014</t>
  </si>
  <si>
    <t>Formalização de negócios</t>
  </si>
  <si>
    <t>ES-001</t>
  </si>
  <si>
    <t>Trabalho em Grupo (teamwork)</t>
  </si>
  <si>
    <t>ES-002</t>
  </si>
  <si>
    <t>Ferramentas e Ambientes de ES (IDEs, Modelagem, Teste, Versao, Configuração, Dependência, Depuração, Refatoração,etc)</t>
  </si>
  <si>
    <t>ES-003</t>
  </si>
  <si>
    <t>Requisitos (Engenharia de Requisitos, Gestão de Requisitos)</t>
  </si>
  <si>
    <t>ES-004</t>
  </si>
  <si>
    <t>Projeto de Software (Princípios, Arquitetura de Software, Padrões Arquiteturais, Modularidade, Design patterns : GoF e outros)</t>
  </si>
  <si>
    <t>ES-005</t>
  </si>
  <si>
    <t>Construção de Software (Convenções e Boas Práticas, Estilos de Codificação, Smells e qualidade de código, Teste de Unidade, TDD, Documentação, Uso de patterns, bibliotecas e frameworks)</t>
  </si>
  <si>
    <t>ES-006</t>
  </si>
  <si>
    <t>Teste, verificação e validação de software (Diferentes dimensões de teste, Casos de teste, Revisao de código, planejamento e execução de testes,</t>
  </si>
  <si>
    <t>ES-007</t>
  </si>
  <si>
    <t>Refatoração e Evolução de Código (Principais refatorações, versionamento semântico)</t>
  </si>
  <si>
    <t>ES-008</t>
  </si>
  <si>
    <t>Confiabilidade de Software (fundamentos, requisitos de confiabilidade em diferentes tipos de software, métodos e modelos de tolerância a falhas em software)</t>
  </si>
  <si>
    <t>ES-009</t>
  </si>
  <si>
    <t>Métodos Formais (Especificação formal, Enfoques formais para modelagem e análise,)</t>
  </si>
  <si>
    <t>BPM, web, mobile?</t>
  </si>
  <si>
    <t>ES-011</t>
  </si>
  <si>
    <t>Práticas Ágeis</t>
  </si>
  <si>
    <t>ES-012</t>
  </si>
  <si>
    <t>Verificação de software</t>
  </si>
  <si>
    <t>IA-001</t>
  </si>
  <si>
    <t>Busca em espaço de estados (busca não-informada, busca informada)</t>
  </si>
  <si>
    <t>IA-002</t>
  </si>
  <si>
    <t>Busca com Memória Limitada e Busca Bidirecional (IDA*, PEA*, MM)</t>
  </si>
  <si>
    <t>IA-003</t>
  </si>
  <si>
    <t>Busca com Adversário e Jogos</t>
  </si>
  <si>
    <t>IA-004</t>
  </si>
  <si>
    <t>General Game Playing</t>
  </si>
  <si>
    <t>IA-005</t>
  </si>
  <si>
    <t>Modelagem de problemas de decisão (MDPs, FONDPs, PONDPs, POMDPs)</t>
  </si>
  <si>
    <t>IA-006</t>
  </si>
  <si>
    <t>Problemas de Satisfação de Restrições</t>
  </si>
  <si>
    <t>IA-007</t>
  </si>
  <si>
    <t>Busca Local</t>
  </si>
  <si>
    <t>IA-008</t>
  </si>
  <si>
    <t>Computação Evolutiva</t>
  </si>
  <si>
    <t>IA-009</t>
  </si>
  <si>
    <t>Raciocínio probabilístico (redes bayesianas, inferência, amostragem, independência)</t>
  </si>
  <si>
    <t>IA-010</t>
  </si>
  <si>
    <t>Resolvedores SAT</t>
  </si>
  <si>
    <t>IA-011</t>
  </si>
  <si>
    <t>Answer Set Programming</t>
  </si>
  <si>
    <t>IA-012</t>
  </si>
  <si>
    <t>Planejamento Automatizado</t>
  </si>
  <si>
    <t>IA-013</t>
  </si>
  <si>
    <t>Aspectos Éticos em IA (Vieses, usos maliciosos, impactos sociais, econômicos e ambientais)</t>
  </si>
  <si>
    <t>IA-015</t>
  </si>
  <si>
    <t>Introdução à Filosofia em IA (IA forte vs IA fraca)</t>
  </si>
  <si>
    <t>IA-016</t>
  </si>
  <si>
    <t>Conceitos de Filosofia em IA (Inteligência, Consciência, Limites)</t>
  </si>
  <si>
    <t>IA-017</t>
  </si>
  <si>
    <t>IA distribuída e Sistemas Multiagente</t>
  </si>
  <si>
    <t>IA-018</t>
  </si>
  <si>
    <t>Métodos de aprendizado supervisionado (e.g. árvores de decisão, KNN, NB, SVM,...)</t>
  </si>
  <si>
    <t>IA-019</t>
  </si>
  <si>
    <t>Neurônio artificial - Regressão Linear e Regressão Logística</t>
  </si>
  <si>
    <t>IA-020</t>
  </si>
  <si>
    <t>Redes Neurais - Perceptron Multicamada e algoritmo backpropagation</t>
  </si>
  <si>
    <t>IA-023</t>
  </si>
  <si>
    <t>Processamento de Grafos com redes neurais (Graph Neural Networks)</t>
  </si>
  <si>
    <t>IA-024</t>
  </si>
  <si>
    <t>Modelos pré-treinados</t>
  </si>
  <si>
    <t>IA-025</t>
  </si>
  <si>
    <t>Modelos generativos</t>
  </si>
  <si>
    <t>IA-026</t>
  </si>
  <si>
    <t>Aprendizado ensemble (variações de bagging, boosting, stacking)</t>
  </si>
  <si>
    <t>IA-027</t>
  </si>
  <si>
    <t>Avaliação de modelos - métricas, holdout, validação cruzada</t>
  </si>
  <si>
    <t>IA-028</t>
  </si>
  <si>
    <t>Comparação de modelos com análises estatísticas (intervalo de confiança, testes estatísticos)</t>
  </si>
  <si>
    <t>IA-029</t>
  </si>
  <si>
    <t>Over vs. Underfitting (Bias vs. Variance)</t>
  </si>
  <si>
    <t>IA-030</t>
  </si>
  <si>
    <t>Aprendizado semi-supervisionado</t>
  </si>
  <si>
    <t>IA-031</t>
  </si>
  <si>
    <t>Fundamentos de aprendizado por reforço tabular e Q-learning</t>
  </si>
  <si>
    <t>IA-032</t>
  </si>
  <si>
    <t>Fundamentos de aprendizado por reforço profundo</t>
  </si>
  <si>
    <t>IA-033</t>
  </si>
  <si>
    <t>Aprendizado on- vs. off-policy</t>
  </si>
  <si>
    <t>IA-034</t>
  </si>
  <si>
    <t>Métodos de Monte Carlo</t>
  </si>
  <si>
    <t>IA-035</t>
  </si>
  <si>
    <t>Aprendizado baseado em modelos</t>
  </si>
  <si>
    <t>IA-036</t>
  </si>
  <si>
    <t>Métodos baseados em Gradiente de Política</t>
  </si>
  <si>
    <t>IA-037</t>
  </si>
  <si>
    <t>Métodos de ator-crítico</t>
  </si>
  <si>
    <t>IA-038</t>
  </si>
  <si>
    <t>Métodos de agrupamento (particional, hierárquico, por densidade) e métricas de avaliação</t>
  </si>
  <si>
    <t>IA-039</t>
  </si>
  <si>
    <t>Redução de dimensionalidade</t>
  </si>
  <si>
    <t>IA-040</t>
  </si>
  <si>
    <t>Aprendizado auto-supervisionado (self-supervised learning)</t>
  </si>
  <si>
    <t>IA-041</t>
  </si>
  <si>
    <t>Pré-processamento de dados (normalização, imputação, transformação..)</t>
  </si>
  <si>
    <t>IA-042</t>
  </si>
  <si>
    <t>Aspectos Práticos (Frameworks, Inicialização, Regularização, Algoritmos de Otimização,  hiperparametros, tuning ...)</t>
  </si>
  <si>
    <t>IA-043</t>
  </si>
  <si>
    <t>Implantação, monitoramento e manutenção de sistemas de ML</t>
  </si>
  <si>
    <t>IA-044</t>
  </si>
  <si>
    <t>PLN: formas de representação de texto (one-hot encoding, embeddings fixas e contextuais)</t>
  </si>
  <si>
    <t>IA-045</t>
  </si>
  <si>
    <t>PLN: Algoritmos fundamentais (pré-processamento, part-of-speech tagging, reconhecimento de entidades nomeadas)</t>
  </si>
  <si>
    <t>IA-046</t>
  </si>
  <si>
    <t>PLN: Aplicações (classificação, sumarização, tradução, modelagem de tópicos, perguntas e respostas, agentes conversacionais)</t>
  </si>
  <si>
    <t>IA-047</t>
  </si>
  <si>
    <t>PLN: Geração de texto</t>
  </si>
  <si>
    <t>IA-049</t>
  </si>
  <si>
    <t>CD: Frameworks para tratamento de grandes volumes de dados</t>
  </si>
  <si>
    <t>IA-050</t>
  </si>
  <si>
    <t>CD: Desenvolvimento de projetos práticos</t>
  </si>
  <si>
    <t>IA-051</t>
  </si>
  <si>
    <t>CD: Engenharia de Dados</t>
  </si>
  <si>
    <t>IA-053</t>
  </si>
  <si>
    <t>Conceitos gerais de representação de conhecimento e raciocínio</t>
  </si>
  <si>
    <t>IA-054</t>
  </si>
  <si>
    <t>Conceitos gerais de ontologias e modelagem conceitual</t>
  </si>
  <si>
    <t>IA-055</t>
  </si>
  <si>
    <t>Análise ontológica</t>
  </si>
  <si>
    <t>IA-056</t>
  </si>
  <si>
    <t>Linguagens de representação de conhecimento</t>
  </si>
  <si>
    <t>IA-057</t>
  </si>
  <si>
    <t>Engenharia de ontologias</t>
  </si>
  <si>
    <t>IA-058</t>
  </si>
  <si>
    <t>Aquisição de conhecimento</t>
  </si>
  <si>
    <t>LP-008</t>
  </si>
  <si>
    <t>Tradução: arranjos, switch-case, classes, etc</t>
  </si>
  <si>
    <t>LP-015</t>
  </si>
  <si>
    <t>Sistemas de Tratamento de exceções</t>
  </si>
  <si>
    <t>LP-016</t>
  </si>
  <si>
    <t>Gerenciamento do Heap (garbage collectors)</t>
  </si>
  <si>
    <t>LP-023</t>
  </si>
  <si>
    <t>Ferramentas do ecossistema de LPs: geradores de parsers, geradores de documentação, testes unitários, controle de versoes</t>
  </si>
  <si>
    <t>MA-001</t>
  </si>
  <si>
    <t>Conjuntos, operações, diagramas de venn. Relações e tipos de relações (ordem parcial, equivalência). Funções totais e parciais.</t>
  </si>
  <si>
    <t>30</t>
  </si>
  <si>
    <t>MA-002</t>
  </si>
  <si>
    <t>Técnicas de prova: direta, contraexemplo, contradição, indução (forte e fraca) nos números naturais, indução estrutural em listas e árvores.</t>
  </si>
  <si>
    <t>MA-003</t>
  </si>
  <si>
    <t>Lógica I: Lógica proposicional e lógica de predicados: sintaxe, semântica, sistemas dedutivos.</t>
  </si>
  <si>
    <t>MA-004</t>
  </si>
  <si>
    <t>Análise combinatória: princípios de contagem, contagem de arranjos, permutações e combinações, princípio dos escaninhos.</t>
  </si>
  <si>
    <t>40</t>
  </si>
  <si>
    <t>MA-007</t>
  </si>
  <si>
    <t>Probabilidade I: Conceito e teoremas fundamentais. Variáveis aleatórias. Distribuições de probabilidade discretas e contínuas.</t>
  </si>
  <si>
    <t>MA-008</t>
  </si>
  <si>
    <t>Estatística descritiva. Noções de amostragem. Inferência estatística: Teoria da estimação e Testes de hipóteses. Regressão linear simples. Correlação.</t>
  </si>
  <si>
    <t>Cálculo I: Limites. Cálculo diferencial de uma variável real. Cálculo integral de uma variável real.</t>
  </si>
  <si>
    <t>90</t>
  </si>
  <si>
    <t>Cálculo II: Geometria analítica espacial. Derivadas parciais. Integrais múltiplas. Séries.</t>
  </si>
  <si>
    <t>Álgebra Linear: Sistema de equações lineares. Matrizes. Fatoração LU. Vetores. Espaços vetoriais. Ortogonalidade. Valores próprios. Aplicações.</t>
  </si>
  <si>
    <t>MA-012</t>
  </si>
  <si>
    <t>Cálculo Numérico: erros; ajustamento de equações; interpolação, derivação e integração; solução de equações lineares e não lineares;
solução de sistemas de equações lineares e não lineares; noções de otimização; solução de equações diferenciais e
equações diferenciais parciais; noções do método Monte Carlo em suas diferentes aplicações.</t>
  </si>
  <si>
    <t>MA-013</t>
  </si>
  <si>
    <t>Equações diferenciais ordinárias e lineares. Resolução simbólica de equações diferenciais simples.</t>
  </si>
  <si>
    <t>MA-015</t>
  </si>
  <si>
    <t>Teoria dos Números: divisibilidade, primalidade, Teorema de Fermat, Teorema Chinês dos Resto, fatoração de inteiros, funções de hash, aritmética modular.</t>
  </si>
  <si>
    <t>MA-016</t>
  </si>
  <si>
    <t>Probabilidade II: Geração de números pseudoaleatórios. Processos estocásticos.</t>
  </si>
  <si>
    <t>MA-017</t>
  </si>
  <si>
    <t>Lógica II: Lógica de Hoare.  Lógica temporal. Correção de programas. Verificação de Modelos</t>
  </si>
  <si>
    <t>MA-018</t>
  </si>
  <si>
    <t>Geometria computacional: principais conceitos. algoritmos e fórmulas como, por exemplo, a distãncia de ponto a plano, cálculo de invólucros convexos, etc.</t>
  </si>
  <si>
    <t>MA-019</t>
  </si>
  <si>
    <t>Teoria da Informação: entropia, taxa de amostragem, capacidade de canal. Codificação com perdas e sem perdas. Códigos de correção de erros.</t>
  </si>
  <si>
    <t>PE-001</t>
  </si>
  <si>
    <t>Overview de Robôs Móveis Inteligentes (arquiteturas robóticas, sensores e atuadores)</t>
  </si>
  <si>
    <t>PE-002</t>
  </si>
  <si>
    <t>Linguagens e frameworks específicos para robótica (ROS)</t>
  </si>
  <si>
    <t>PE-003</t>
  </si>
  <si>
    <t>Introdução a navegação autônoma (noções de cinematica e controle)</t>
  </si>
  <si>
    <t>PE-004</t>
  </si>
  <si>
    <t>Planejamento de caminhos</t>
  </si>
  <si>
    <t>PE-005</t>
  </si>
  <si>
    <t>Mapeamento de ambientes</t>
  </si>
  <si>
    <t>PE-006</t>
  </si>
  <si>
    <t>Exploração de ambientes</t>
  </si>
  <si>
    <t>PE-007</t>
  </si>
  <si>
    <t>Localização</t>
  </si>
  <si>
    <t>PE-008</t>
  </si>
  <si>
    <t>Noções de SLAM e mais problemas avançados de robótica móvel</t>
  </si>
  <si>
    <t>PE-009</t>
  </si>
  <si>
    <t>Introdução aos jogos por computador (plataformas históricas e atuais)</t>
  </si>
  <si>
    <t>PE-010</t>
  </si>
  <si>
    <t>Impactos éticos, sociais e legais dos jogos</t>
  </si>
  <si>
    <t>PE-011</t>
  </si>
  <si>
    <t>Game engines (ferramentas para desenvolvimento de jogos)</t>
  </si>
  <si>
    <t>PE-012</t>
  </si>
  <si>
    <t>Técnicas de animação, simulação e rendering real-time</t>
  </si>
  <si>
    <t>PE-013</t>
  </si>
  <si>
    <t>Game design</t>
  </si>
  <si>
    <t>PE-014</t>
  </si>
  <si>
    <t>Tópicos avançados no desenvolvimento de jogos</t>
  </si>
  <si>
    <t>28</t>
  </si>
  <si>
    <t>PE-017</t>
  </si>
  <si>
    <t>Frameworks para aplicações web (e.g. Yii, Rails, Django, Flask, Laravel, Spring, Angular, React)</t>
  </si>
  <si>
    <t>PE-020</t>
  </si>
  <si>
    <t>Software as a Service (SaaS)</t>
  </si>
  <si>
    <t>PE-026</t>
  </si>
  <si>
    <t>Uso de recursos avançados e sensores (georeferenciamento, sensores inerciais, mapas, realidade aumentada, health data)</t>
  </si>
  <si>
    <t>PE-027</t>
  </si>
  <si>
    <t>Uso criativo (avançado) de dispositivos móveis</t>
  </si>
  <si>
    <t>RC-001</t>
  </si>
  <si>
    <t>Importância de redes em sistemas atuais e desafios associados.</t>
  </si>
  <si>
    <t>RC-002</t>
  </si>
  <si>
    <t>Organização da Internet (ex: usuários, provedores de serviço Internet, sistemas autônomos, provedores de conteúdo, redes de distribuição de conteúdo).</t>
  </si>
  <si>
    <t>RC-003</t>
  </si>
  <si>
    <t>Técnicas de comutação (ex: orientada a circuitos e a pacotes).</t>
  </si>
  <si>
    <t>RC-004</t>
  </si>
  <si>
    <t>Camadas e seus papeis (aplicação, transporte, rede, enlace, física).</t>
  </si>
  <si>
    <t>RC-005</t>
  </si>
  <si>
    <t>Princípios de organização de redes em camadas (ex: encapsulamento).</t>
  </si>
  <si>
    <t>RC-006</t>
  </si>
  <si>
    <t>Dispositivos de rede (ex: roteadores, switches, hubs, pontos de acesso e estações finais).</t>
  </si>
  <si>
    <t>RC-007</t>
  </si>
  <si>
    <t>Conceitos de enfileiramento de pacotes (e relação com atrasos, congestionamento, níveis de serviço, etc.)</t>
  </si>
  <si>
    <t>RC-008</t>
  </si>
  <si>
    <t>Esquemas de nomes e endereçamento (ex: DNS, endereços IP, URLs).</t>
  </si>
  <si>
    <t>RC-009</t>
  </si>
  <si>
    <t>Diversidade de requisitos de aplicações em rede (ex: atraso, vazão e tolerância a perdas).</t>
  </si>
  <si>
    <t>RC-010</t>
  </si>
  <si>
    <t>Explicação de pelo menos um protocolo de camada de aplicação (ex: HTTP, SMTP e IMAP).</t>
  </si>
  <si>
    <t>RC-011</t>
  </si>
  <si>
    <t>Entrega não confiável de dados (ex: UDP).</t>
  </si>
  <si>
    <t>RC-012</t>
  </si>
  <si>
    <t>Princípios de entrega de dados confiável (ex: sem perdas, sem duplicação e em ordem).</t>
  </si>
  <si>
    <t>RC-013</t>
  </si>
  <si>
    <t>Controle de erros (ex: retransmissão e correção de erros).</t>
  </si>
  <si>
    <t>RC-014</t>
  </si>
  <si>
    <t>Controle de fluxo (ex: stop and wait, baseado em janela).</t>
  </si>
  <si>
    <t>RC-015</t>
  </si>
  <si>
    <t>Controle de congestionamento (ex: implícito e via notificação explícita de congestionamento).</t>
  </si>
  <si>
    <t>RC-016</t>
  </si>
  <si>
    <t>TCP e aspectos de desempenho (ex: Tahoe, Reno, Vegas, Cubic, Quic, BBR).</t>
  </si>
  <si>
    <t>RC-017</t>
  </si>
  <si>
    <t>Paradigmas e hierarquias de roteamento (ex: intra/inter domínio - OSPF/BGP, centralizado e descentralizado, source routing, circuitos virtuais, QoS).</t>
  </si>
  <si>
    <t>RC-018</t>
  </si>
  <si>
    <t>Métodos de encaminhamento (ex: tabelas de encaminhamento e algoritmos de matching).</t>
  </si>
  <si>
    <t>RC-019</t>
  </si>
  <si>
    <t>Separação dos planos de controle e de dados (SDN, planos de dados programáveis, etc.).</t>
  </si>
  <si>
    <t>RC-020</t>
  </si>
  <si>
    <t>IP e aspectos de escalabilidade (ex: NAT, CIDR, diferentes versões do IP).</t>
  </si>
  <si>
    <t>RC-021</t>
  </si>
  <si>
    <t>IPv6 e mecanismos de transição</t>
  </si>
  <si>
    <t>RC-022</t>
  </si>
  <si>
    <t>Introdução à modulação, largura de banda e meios de comunicação.</t>
  </si>
  <si>
    <t>RC-023</t>
  </si>
  <si>
    <t>Codificação e enquadramento (framing).</t>
  </si>
  <si>
    <t>RC-024</t>
  </si>
  <si>
    <t>Controle de acesso ao meio (ex: acesso randômico e escalonado).</t>
  </si>
  <si>
    <t>RC-025</t>
  </si>
  <si>
    <t>Ethernet.</t>
  </si>
  <si>
    <t>RC-026</t>
  </si>
  <si>
    <t>Comutação (switching).</t>
  </si>
  <si>
    <t>RC-027</t>
  </si>
  <si>
    <t>Topologias de redes (ex: redes de data center).</t>
  </si>
  <si>
    <t>RC-028</t>
  </si>
  <si>
    <t>Princípios de comunicação celular (ex: 4G, 5G e 6G).</t>
  </si>
  <si>
    <t>RC-029</t>
  </si>
  <si>
    <t>Princípios de redes locais sem fio (ex: IEEE 802.11).</t>
  </si>
  <si>
    <t>RC-030</t>
  </si>
  <si>
    <t>Comunicação device-to-device.</t>
  </si>
  <si>
    <t>RC-031</t>
  </si>
  <si>
    <t>Redes sem fio multisaltos (ex: ad-hoc, oportunísticas, tolerantes a atrasos).</t>
  </si>
  <si>
    <t>RC-032</t>
  </si>
  <si>
    <t>Middleboxes (ex: filtragem, inspeção profunda de pacotes, balanceamento de carga, NAT).</t>
  </si>
  <si>
    <t>RC-033</t>
  </si>
  <si>
    <t>Redes de distribuição de conteúdo (CDNs).</t>
  </si>
  <si>
    <t>RC-034</t>
  </si>
  <si>
    <t>Redes quânticas (ex: introdução ao domínio, segurança, Internet quântica).</t>
  </si>
  <si>
    <t>RC-035</t>
  </si>
  <si>
    <t>Monitoração de redes (ex: SNMP, fluxos, telemetria, observabilidade).</t>
  </si>
  <si>
    <t>RC-036</t>
  </si>
  <si>
    <t>FCAPS (terminologia).</t>
  </si>
  <si>
    <t>RC-037</t>
  </si>
  <si>
    <t>Green networking ou carbon-aware networking.</t>
  </si>
  <si>
    <t>RC-038</t>
  </si>
  <si>
    <t>Multimídia (streaming, ao vivo, video/audioconferência - codificação, bufferização, DASH, etc.).</t>
  </si>
  <si>
    <t>RC-039</t>
  </si>
  <si>
    <t>Aplicações emergentes (ex: VR/AR/holographic-type communications, sistemas ciberfísicos)</t>
  </si>
  <si>
    <t>RC-040</t>
  </si>
  <si>
    <t>Redes ópticas (ex: funcionamento básico, NG-SDH/SONET, DWDM, OTN, PON)</t>
  </si>
  <si>
    <t>RC-041</t>
  </si>
  <si>
    <t>Redes de sensores sem fio, Indústria 4.0, Cidades inteligentes, Smart*.</t>
  </si>
  <si>
    <t>RC-042</t>
  </si>
  <si>
    <t>Teoria da Informação (ex: entropia, entropia condicional, mutual information, Teorema de Shannon).</t>
  </si>
  <si>
    <t>RC-043</t>
  </si>
  <si>
    <t>Comunicação sem fio (ex: antenas, faixas de frequência, WPANs, WLANs, WMANs, WRANs, WWANs).</t>
  </si>
  <si>
    <t>SE-001</t>
  </si>
  <si>
    <t>Conceitos e propriedades em segurança</t>
  </si>
  <si>
    <t>SE-002</t>
  </si>
  <si>
    <t>Risco, vulnerabilidades, ameaças e vetores de ataque</t>
  </si>
  <si>
    <t>SE-003</t>
  </si>
  <si>
    <t>Princípios de segurança</t>
  </si>
  <si>
    <t>SE-004</t>
  </si>
  <si>
    <t>Princípios de privacidade</t>
  </si>
  <si>
    <t>SE-005</t>
  </si>
  <si>
    <t>Tensões entre segurança e outros objetivos de design</t>
  </si>
  <si>
    <t>SE-006</t>
  </si>
  <si>
    <t>Questões legais e ética</t>
  </si>
  <si>
    <t>SE-007</t>
  </si>
  <si>
    <t>Autenticação e autorização, controle de acesso</t>
  </si>
  <si>
    <t>SE-008</t>
  </si>
  <si>
    <t>Segurança de ponta a ponta</t>
  </si>
  <si>
    <t>SE-009</t>
  </si>
  <si>
    <t>Defesa em profundidade</t>
  </si>
  <si>
    <t>SE-010</t>
  </si>
  <si>
    <t>Segurança por design</t>
  </si>
  <si>
    <t>SE-011</t>
  </si>
  <si>
    <t>Segurança utilizável</t>
  </si>
  <si>
    <t>SE-016</t>
  </si>
  <si>
    <t>Controle de fluxo de informações</t>
  </si>
  <si>
    <t>SE-022</t>
  </si>
  <si>
    <t>Objetivos, capacidades e motivações do invasor</t>
  </si>
  <si>
    <t>SE-023</t>
  </si>
  <si>
    <t>Malware</t>
  </si>
  <si>
    <t>SE-024</t>
  </si>
  <si>
    <t>Negação de Serviço</t>
  </si>
  <si>
    <t>SE-025</t>
  </si>
  <si>
    <t>Engenharia social</t>
  </si>
  <si>
    <t>SE-026</t>
  </si>
  <si>
    <t>Ataques à privacidade e ao anonimato</t>
  </si>
  <si>
    <t>SE-027</t>
  </si>
  <si>
    <t>Canais secretos e estegonografia</t>
  </si>
  <si>
    <t>SE-032</t>
  </si>
  <si>
    <t>Segurança para redes celulares sem fio</t>
  </si>
  <si>
    <t>SE-033</t>
  </si>
  <si>
    <t>Segurança de redes sem fio</t>
  </si>
  <si>
    <t>SE-034</t>
  </si>
  <si>
    <t>Resistência à censura</t>
  </si>
  <si>
    <t>SE-035</t>
  </si>
  <si>
    <t>Gerenciamento de segurança de rede</t>
  </si>
  <si>
    <t>SE-036</t>
  </si>
  <si>
    <t>Tipos de cifras juntamente com métodos de ataque típicos</t>
  </si>
  <si>
    <t>SE-037</t>
  </si>
  <si>
    <t>Suporte de infraestrutura de chave pública para assinatura digital e criptografia e seus desafios.</t>
  </si>
  <si>
    <t>SE-040</t>
  </si>
  <si>
    <t>Cifras de bloco e de fluxo</t>
  </si>
  <si>
    <t>SE-042</t>
  </si>
  <si>
    <t>Códigos de autenticação de mensagem</t>
  </si>
  <si>
    <t>SE-043</t>
  </si>
  <si>
    <t>Criptografia de chave simétrica</t>
  </si>
  <si>
    <t>SE-044</t>
  </si>
  <si>
    <t>Modos de operação para segurança semântica e criptografia autenticada</t>
  </si>
  <si>
    <t>SE-045</t>
  </si>
  <si>
    <t>Integridade da mensagem (por exemplo, CMAC, HMAC)</t>
  </si>
  <si>
    <t>SE-046</t>
  </si>
  <si>
    <t>Criptografia de chave pública</t>
  </si>
  <si>
    <t>SE-047</t>
  </si>
  <si>
    <t>Assinaturas digitais</t>
  </si>
  <si>
    <t>SE-048</t>
  </si>
  <si>
    <t>Infraestrutura de chave pública (PKI) e certificados</t>
  </si>
  <si>
    <t>SE-049</t>
  </si>
  <si>
    <t>Protocolos criptográficos</t>
  </si>
  <si>
    <t>SE-050</t>
  </si>
  <si>
    <t>Criptografia quântica e pós-quântica</t>
  </si>
  <si>
    <t>SE-051</t>
  </si>
  <si>
    <t>Modelo de segurança da web</t>
  </si>
  <si>
    <t>SE-052</t>
  </si>
  <si>
    <t>Gerenciamento de sessão</t>
  </si>
  <si>
    <t>SE-053</t>
  </si>
  <si>
    <t>Vulnerabilidades e defesas de aplicativos</t>
  </si>
  <si>
    <t>SE-054</t>
  </si>
  <si>
    <t>Segurança do lado do cliente</t>
  </si>
  <si>
    <t>SE-055</t>
  </si>
  <si>
    <t>Rastreamento de usuário</t>
  </si>
  <si>
    <t>SE-056</t>
  </si>
  <si>
    <t>Integridade do código e assinatura de código</t>
  </si>
  <si>
    <t>SE-057</t>
  </si>
  <si>
    <t>Segurança em Internet das Coisas</t>
  </si>
  <si>
    <t>SE-058</t>
  </si>
  <si>
    <t>Caminho confiável</t>
  </si>
  <si>
    <t>SE-059</t>
  </si>
  <si>
    <t>Políticas de segurança</t>
  </si>
  <si>
    <t>SE-060</t>
  </si>
  <si>
    <t>Princípios básicos e metodologias para forense digital</t>
  </si>
  <si>
    <t>SE-061</t>
  </si>
  <si>
    <t>Métodos e padrões de Evidências Digitais e Preservação de Dados</t>
  </si>
  <si>
    <t>SE-062</t>
  </si>
  <si>
    <t>Detecção, análise e investigação de ataques</t>
  </si>
  <si>
    <t>SE-063</t>
  </si>
  <si>
    <t>Anti-forense</t>
  </si>
  <si>
    <t>SO</t>
  </si>
  <si>
    <t>SO-001</t>
  </si>
  <si>
    <t>Função e finalidade dos sistemas operacionais</t>
  </si>
  <si>
    <t>SO-002</t>
  </si>
  <si>
    <t>Princípios do Sistema Operacional</t>
  </si>
  <si>
    <t>SO-003</t>
  </si>
  <si>
    <t>Concorrência - Básico</t>
  </si>
  <si>
    <t>SO-004</t>
  </si>
  <si>
    <t>Concorrência - Avançado</t>
  </si>
  <si>
    <t>SO-005</t>
  </si>
  <si>
    <t>Escalonamento - Básico</t>
  </si>
  <si>
    <t>SO-006</t>
  </si>
  <si>
    <t>Escalonamento - Avançado</t>
  </si>
  <si>
    <t>SO-007</t>
  </si>
  <si>
    <t>Modelo de processo</t>
  </si>
  <si>
    <t>SO-008</t>
  </si>
  <si>
    <t>Gerenciamento de memória - Básico</t>
  </si>
  <si>
    <t>SO-009</t>
  </si>
  <si>
    <t>Gerenciamento de memória - Avançado</t>
  </si>
  <si>
    <t>SO-010</t>
  </si>
  <si>
    <t>Proteção e Segurança - Básico</t>
  </si>
  <si>
    <t>1.5</t>
  </si>
  <si>
    <t>SO-011</t>
  </si>
  <si>
    <t>Proteção e Segurança - Avançado</t>
  </si>
  <si>
    <t>SO-012</t>
  </si>
  <si>
    <t>Gerenciamento de dispositivos - Básico</t>
  </si>
  <si>
    <t>SO-013</t>
  </si>
  <si>
    <t>Gerenciamento de dispositivos - Avançado</t>
  </si>
  <si>
    <t>SO-014</t>
  </si>
  <si>
    <t>API de sistemas de arquivos e implementação</t>
  </si>
  <si>
    <t>4.5</t>
  </si>
  <si>
    <t>SO-015</t>
  </si>
  <si>
    <t>Sistemas de arquivos avançados</t>
  </si>
  <si>
    <t>SO-016</t>
  </si>
  <si>
    <t>Sistemas de arquivos mais avançados</t>
  </si>
  <si>
    <t>SO-017</t>
  </si>
  <si>
    <t>Virtualização - Básico</t>
  </si>
  <si>
    <t>SO-018</t>
  </si>
  <si>
    <t>Virtualização - Avançado</t>
  </si>
  <si>
    <t>SO-019</t>
  </si>
  <si>
    <t>Sistemas em tempo real e embarcados</t>
  </si>
  <si>
    <t>SO-020</t>
  </si>
  <si>
    <t>Tolerância à Falhas</t>
  </si>
  <si>
    <t>SO-021</t>
  </si>
  <si>
    <t>Princípios de Programação paralela e distribuída</t>
  </si>
  <si>
    <t>SO-022</t>
  </si>
  <si>
    <t>Programação Paralela em arquiteturas multicore</t>
  </si>
  <si>
    <t>SO-023</t>
  </si>
  <si>
    <t>Programação Paralela para arquiteturas heterogêneas</t>
  </si>
  <si>
    <t>SO-024</t>
  </si>
  <si>
    <t>Programação Paralela em ambientes de memória distribuída</t>
  </si>
  <si>
    <t>SO-025</t>
  </si>
  <si>
    <t>Tópicos em Cloud Computing (Edge/Fog???)</t>
  </si>
  <si>
    <t>GD-002</t>
  </si>
  <si>
    <t>Bancos de Dados NoSQL e NewSQL</t>
  </si>
  <si>
    <t>GD-003</t>
  </si>
  <si>
    <t>Teorema CAP e BASE (integridade)</t>
  </si>
  <si>
    <t>GD-004</t>
  </si>
  <si>
    <t>Bancos de Dados Chave-Valor e Tabulares</t>
  </si>
  <si>
    <t>GD-005</t>
  </si>
  <si>
    <t>Bancos de dados orientados a Documentos</t>
  </si>
  <si>
    <t>GD-006</t>
  </si>
  <si>
    <t>Bancos de Dados orientados a Grafos</t>
  </si>
  <si>
    <t>GD-007</t>
  </si>
  <si>
    <t>Bancos de Dados de Memória Principal</t>
  </si>
  <si>
    <t>GD-008</t>
  </si>
  <si>
    <t>Sintonia em Sistemas Gerenciadores de Bancos de Dados</t>
  </si>
  <si>
    <t>GD-009</t>
  </si>
  <si>
    <t>GD-010</t>
  </si>
  <si>
    <t>GD-011</t>
  </si>
  <si>
    <t>GD-012</t>
  </si>
  <si>
    <t>GD-013</t>
  </si>
  <si>
    <t>Técnicas de Melhoria de Qualidade</t>
  </si>
  <si>
    <t>GD-014</t>
  </si>
  <si>
    <t>Metodologia Experimental de Recuperação da Informação</t>
  </si>
  <si>
    <t>GD-017</t>
  </si>
  <si>
    <t>Projeto de Base de Dados Conceitual</t>
  </si>
  <si>
    <t>GD-019</t>
  </si>
  <si>
    <t>Mapeamento entre Esquemas de Banco de Dados</t>
  </si>
  <si>
    <t>GD-028</t>
  </si>
  <si>
    <t>Transacao: recuperaçao e concorrencia, log, operacoes undo/redu</t>
  </si>
  <si>
    <t>GD-029</t>
  </si>
  <si>
    <t>Transacao: concorrencia, niveis de bloqueio, estrategias</t>
  </si>
  <si>
    <t>GD-030</t>
  </si>
  <si>
    <t>SGBD: Recuperaçao, controle de falhas, backup</t>
  </si>
  <si>
    <t>GD-032</t>
  </si>
  <si>
    <t>Plano de Consultas e otimizaçao</t>
  </si>
  <si>
    <t>Descrição da Habilidade</t>
  </si>
  <si>
    <t>Nível de proficiência</t>
  </si>
  <si>
    <t>Conteúdos relacionados</t>
  </si>
  <si>
    <t>AL-H-001</t>
  </si>
  <si>
    <t>Analisar problemas e elaborar programas que os solucionem, utilizando para isto uma linguagem de programção.</t>
  </si>
  <si>
    <t>Criar</t>
  </si>
  <si>
    <t>AL-H-002</t>
  </si>
  <si>
    <t>Escolher as estruturas de dados adequadas para modelar diferentes situações e justificar suas escolhas</t>
  </si>
  <si>
    <t>Avaliar</t>
  </si>
  <si>
    <t>AL-H-003</t>
  </si>
  <si>
    <t>Construir soluções computacionais utilizando conceitos de subprogramação, recursão, meta-programação e manipulação de arquivos</t>
  </si>
  <si>
    <t>AL-H-004</t>
  </si>
  <si>
    <t>Avaliar e selecionar uma estratégia adequada para a resolução de um problema</t>
  </si>
  <si>
    <t>AL-H-005</t>
  </si>
  <si>
    <t>Construir soluções computacionais eficientes para a organização e busca de dados</t>
  </si>
  <si>
    <t>AL-H-006</t>
  </si>
  <si>
    <t>Resolver problemas usando o pensamento computacional, aplicando as principais técnicas de construção de soluções computacionais e analisando criticamente as soluções</t>
  </si>
  <si>
    <t>AL-H-007</t>
  </si>
  <si>
    <t>Compreender os princípios da análise de problemas e algoritmos</t>
  </si>
  <si>
    <t>Compreender</t>
  </si>
  <si>
    <t>AL-H-008</t>
  </si>
  <si>
    <t>Compreender os princípios da organização e busca por dados textuais e do funcionamento de motores de busca.</t>
  </si>
  <si>
    <t>Aplicar</t>
  </si>
  <si>
    <t>AL-H-009</t>
  </si>
  <si>
    <t>Selecionar algoritmos e estruturas de dados adequadas para a resolução de problemas que envolvem dados espaciais e/ou multidimensionais</t>
  </si>
  <si>
    <t>AL-H-010</t>
  </si>
  <si>
    <t>Analisar algoritmos/programas justificando sua correção (ou seja, sendo capaz de argumentar porque um programa resolve de fato o problema dado)</t>
  </si>
  <si>
    <t>AR-H-001</t>
  </si>
  <si>
    <t>Conhecer a história da computação e os principais marcos históricos da evolução das arquiteturas de computadores.</t>
  </si>
  <si>
    <t>Lembrar</t>
  </si>
  <si>
    <t>AR-H-002</t>
  </si>
  <si>
    <t>Escolher sistemas de representação de dados adequados para aplicações com diferentes necessidades.</t>
  </si>
  <si>
    <t>AR-H-003</t>
  </si>
  <si>
    <t>Analisar o funcionamento e utilizar os componentes básicos para composição de arquiteturas computacionais.</t>
  </si>
  <si>
    <t>Analisar</t>
  </si>
  <si>
    <t>Aplicar técnicas de desenvolvimento e otimização de circuitos digitais.</t>
  </si>
  <si>
    <t>AR-H-005</t>
  </si>
  <si>
    <t>Avaliar o funcionamento de arquiteturas de von Neumann e seus principais componentes.</t>
  </si>
  <si>
    <t>AR-H-006</t>
  </si>
  <si>
    <t>Criar programas utilizando arquiteturas de conjuntos de instruções para resolver diferentes problemas.</t>
  </si>
  <si>
    <t>AR-H-007</t>
  </si>
  <si>
    <t>Analisar a eficiência de diferentes arquiteturas para classes de problemas e níveis de paralelismo distintos.</t>
  </si>
  <si>
    <t>AR-H-008</t>
  </si>
  <si>
    <t>Compreender as diferentes tecnologias de implementação de memórias e suas principais métricas de qualidade.</t>
  </si>
  <si>
    <t>AR-H-009</t>
  </si>
  <si>
    <t>Avaliar o funcionamento de hierarquias de memória para diferentes aplicações.</t>
  </si>
  <si>
    <t>AR-H-010</t>
  </si>
  <si>
    <t>Compreender o funcionamento e utilizar sistemas de entrada e saída e seus principais mecanismos de implementação.</t>
  </si>
  <si>
    <t>AR-H-011</t>
  </si>
  <si>
    <t>Avaliar requisitos não-funcionais (e.g., desempenho, potência e consumo de energia) de sistemas computacionais.</t>
  </si>
  <si>
    <t>AR-H-012</t>
  </si>
  <si>
    <t>Utilizar técnicas e arquiteturas avançadas para desenvolvimento de sistemas computacionais.</t>
  </si>
  <si>
    <t>AR-H-013</t>
  </si>
  <si>
    <t>Compreender novos paradigmas relacionados a arquitetura, organização e circuitos.</t>
  </si>
  <si>
    <t>Utilizar algoritmos adequados para resolver problemas de automação de projeto de sistemas digitais.</t>
  </si>
  <si>
    <t>CG-H-001</t>
  </si>
  <si>
    <t>Criar aplicações gráficas interativas que possibilitem a visualização de ambientes virtuais tridimensionais, aproximando ambientes reais em diferentes níveis de realismo, utilizando de maneira eficiente os recursos computacionais existentes em hardware e software.</t>
  </si>
  <si>
    <t>CG-H-002</t>
  </si>
  <si>
    <t>Compreender os diferentes métodos existentes para geração de imagens por computador, assim como as principais estruturas de dados e modelos matemáticos para representação geométrica, sabendo a melhor situação onde estes devem ser aplicados.</t>
  </si>
  <si>
    <t>CG-H-003</t>
  </si>
  <si>
    <t>Utilizar técnicas de computação gráfica para gerar imagens por computador com alto nível de qualidade e realismo, tanto de maneira "offline" quanto em tempo real.</t>
  </si>
  <si>
    <t>CG-H-004</t>
  </si>
  <si>
    <t>Desenvolver novos algoritmos que avançem o estado da arte na geração de imagens por computador</t>
  </si>
  <si>
    <t>CG-H-005</t>
  </si>
  <si>
    <t>Entender o funcionamento e algoritmos básicos de ferramentas que realizam a fabricação física a partir de modelos geométricos virtuais</t>
  </si>
  <si>
    <t>CG-H-006</t>
  </si>
  <si>
    <t>Compreender e identificar as potenciais vantagens do uso de técnicas de visualização de informações como forma de comunicação e suporte à exploração de grandes conjuntos de dados</t>
  </si>
  <si>
    <t>CG-H-007</t>
  </si>
  <si>
    <t xml:space="preserve">Desenvolver, implementar e avaliar aplicações envolvendo técnicas interativas de visualização de informações, utilizando recursos de alto nível disponíveis na forma de bibliotecas ou ferramentas </t>
  </si>
  <si>
    <t>CG-H-008</t>
  </si>
  <si>
    <t>Desenvolver, implementar e avaliar aplicações que manipulam a representação digital de dados visuais, como imagens e vídeos, utilizando com plena capacidade os princípios matemáticos associados</t>
  </si>
  <si>
    <t>CG-H-009</t>
  </si>
  <si>
    <t>Compreender a relação entre representações digitais e os fenômenos visuais que ali estão codificados</t>
  </si>
  <si>
    <t>CG-H-010</t>
  </si>
  <si>
    <t>Desenvolver, implementar e avaliar soluções capazes de extrair informações relevantes a partir de dados visuais</t>
  </si>
  <si>
    <t>CG-H-011</t>
  </si>
  <si>
    <t>Aplicar métodos e recursos de computação gráfica e interação para construção de ambientes imersivos usando recursos de alto nível (engines e APIs)</t>
  </si>
  <si>
    <t>CG-H-012</t>
  </si>
  <si>
    <t>Compreender e identificar as potenciais vantagens no uso de Realidade Virtual e Realidade Aumentada como espaço de comunicação</t>
  </si>
  <si>
    <t>CG-H-013</t>
  </si>
  <si>
    <t>Conduzir um processo de concepção e projeto de interfaces centrado no usuário e em suas necessidades</t>
  </si>
  <si>
    <t>CG-H-014</t>
  </si>
  <si>
    <t>Ser capaz de escolher e aplicar a técnica de avaliação de interfaces adequada a cada situação</t>
  </si>
  <si>
    <t>CG-H-015</t>
  </si>
  <si>
    <t>Criar novos artefatos de interação a partir da tecnologia disponível e tendo em vista as necessidades dos usuários</t>
  </si>
  <si>
    <t>CO-H-001</t>
  </si>
  <si>
    <t>Compreender diversos modelos de computação, seus princípios de funcionamento e as respectivas linguagens reconhecidas e/ou funções computadas, assim como a Hierarquia de Chomsky.</t>
  </si>
  <si>
    <t>CO-H-002</t>
  </si>
  <si>
    <t>Utilizar autômatos finitos e expressões regulares para modelar sistemas computacionais, e gramáticas para descrever linguagens formais, compreendendo a relação entre formalismos geradores e reconhecedores das respectivas linguagens.</t>
  </si>
  <si>
    <t>CO-H-003</t>
  </si>
  <si>
    <t>Implementar algoritmos usando modelos de computação Turing-completos.</t>
  </si>
  <si>
    <t>CO-H-004</t>
  </si>
  <si>
    <t>Comparar modelos de computação através de transformações que preservem a semântica, compreendendo a Tese de Church-Turing e sua importância para a área da Computação.</t>
  </si>
  <si>
    <t>CO-H-005</t>
  </si>
  <si>
    <t>Reconhecer a existência de funções e linguagens não computáveis e de problemas indecidíveis, identificando  exemplos famosos como o problema da parada.</t>
  </si>
  <si>
    <t>CO-H-006</t>
  </si>
  <si>
    <t>Demonstrar que um dado problema de interesse é indecidível através da construção de reduções entre problemas.</t>
  </si>
  <si>
    <t>CO-H-007</t>
  </si>
  <si>
    <t>Demonstrar que um dado problema de interesse pertence a uma classe de complexidade (P, NP, PSPACE)</t>
  </si>
  <si>
    <t>CO-H-008</t>
  </si>
  <si>
    <t>Demonstrar a complexidade assintótica de um dado problema de interesse, usando notação e os respectivos tipos de complexidade (pior caso, melhor caso e caso médio)</t>
  </si>
  <si>
    <t>CO-H-009</t>
  </si>
  <si>
    <t>Avaliar o uso de algoritmos conhecidos para solucionar um dado problema de interesse</t>
  </si>
  <si>
    <t>CO-H-010</t>
  </si>
  <si>
    <t>Criar algoritmo para solução de um dado problema de interesse usando padrões conhecidos de solução</t>
  </si>
  <si>
    <t>CS-H-001</t>
  </si>
  <si>
    <t>Avaliar o impacto e a sustentabilidade ambiental de soluções e serviços computacionais</t>
  </si>
  <si>
    <t>CS-H-002</t>
  </si>
  <si>
    <t>Avaliar o impacto de soluções e serviços computacionais sobre direitos humanos, como privacidade, proteção aos dados pessoais, liberdade de expressão, acessibilidade, etc.</t>
  </si>
  <si>
    <t xml:space="preserve">Proteção da privacidade e dos dados pessoais em soluções e serviços computacionais - "privacy by design", normas legais </t>
  </si>
  <si>
    <t>CS-H-003</t>
  </si>
  <si>
    <t>Avaliar as implicações éticas de soluções e serviços computacionais</t>
  </si>
  <si>
    <t>Implicações éticas da Computação e respectivos métodos de avaliação - p.ex. impactos e vieses algorítmicos discriminatórios</t>
  </si>
  <si>
    <t>CS-H-004</t>
  </si>
  <si>
    <t>Compreender as responsabilidades profissionais relacionadas às diferentes áreas de atuação do egresso</t>
  </si>
  <si>
    <t>CS-H-005</t>
  </si>
  <si>
    <t>Compreender os processos de transformação digital da sociedade e suas implicações sociais e econômicas</t>
  </si>
  <si>
    <t>CS-H-006</t>
  </si>
  <si>
    <t>Compreender os processos regulatórios e legislativos e as políticas públicas que se aplicam a soluções e serviços computacionais e compreender suas implicações sociais e econômicas</t>
  </si>
  <si>
    <t>CS-H-007</t>
  </si>
  <si>
    <t>Compreender questões de propriedade intelectual relativas ao desenvolvimento de software</t>
  </si>
  <si>
    <t>EM-H-001</t>
  </si>
  <si>
    <t xml:space="preserve">Compreender os conceitos de inovação, empreendedorismo e modelos de negócios </t>
  </si>
  <si>
    <t>EM-H-002</t>
  </si>
  <si>
    <t>Criar e elaborar modelos de negócios inovadores</t>
  </si>
  <si>
    <t>EM-H-003</t>
  </si>
  <si>
    <t>Aplicar metodologias, técnicas e ferramentas no desenvolvimento de modelos de negócios inovadores, incluindo análise de mercado e planejamento financeiro.</t>
  </si>
  <si>
    <t>EM-H-004</t>
  </si>
  <si>
    <t>Aplicar metodologias para desenvolvimento de soluções como modelos de negócios inovadores</t>
  </si>
  <si>
    <t>EM-H-005</t>
  </si>
  <si>
    <t>Conhecer os principais atores do ecossistema de empreendedorismo e inovação</t>
  </si>
  <si>
    <t>EM-H-006</t>
  </si>
  <si>
    <t>Conhecer os fundamentos da gestão da inovação</t>
  </si>
  <si>
    <t>EM-H-007</t>
  </si>
  <si>
    <t>Conhecer principais conceitos relacionados a ESG, negócios de impacto e responsabilidade e ética em negócios inovadores</t>
  </si>
  <si>
    <t>EM-H-008</t>
  </si>
  <si>
    <t>Conhecer os principais mecanismos de captação de fontes de capital e os principais modelos de formalização de negócios</t>
  </si>
  <si>
    <t>ES-H-001</t>
  </si>
  <si>
    <t>Descrever os requisitos (funcionais e não funcionais) de um software.</t>
  </si>
  <si>
    <t>ES-H-002</t>
  </si>
  <si>
    <t>Entender Processos de software e os diferentes Papéis e responsabilidades em uma equipe de software</t>
  </si>
  <si>
    <t>ES-H-003</t>
  </si>
  <si>
    <t>Aplicar os princípios de design do sistema, selecionando adequadamente entre os principais estilos de arquitetura de software (2 camadas, 3 camadas, cliente servidor, MVC, etc)</t>
  </si>
  <si>
    <t>ES-H-004</t>
  </si>
  <si>
    <t>Identificar Code smells e outros indicadores de qualidade de código (débito técnico, métricas, etc) ; Realizar Revisão de Código</t>
  </si>
  <si>
    <t>ES-H-005</t>
  </si>
  <si>
    <t>Identificar e construir configuraçoes de módulos (que atendam princípios de modularidade) que atendem os requisitos</t>
  </si>
  <si>
    <t>ES-H-006</t>
  </si>
  <si>
    <t>Utilizar facilidades de ambientes de ES - versionamento, depuração, refatoração, busca, dependências,  etc</t>
  </si>
  <si>
    <t>ES-H-007</t>
  </si>
  <si>
    <t>Aplicar boas práticas de codificação e documentação</t>
  </si>
  <si>
    <t>ES-H-008</t>
  </si>
  <si>
    <t>Planejar e executar testes de de software e analisar os resultados</t>
  </si>
  <si>
    <t xml:space="preserve">Teste, verificação e validação de software (Diferentes dimensões de teste, Casos de teste, Revisao de código, planejamento e execução de testes, </t>
  </si>
  <si>
    <t>ES-H-009</t>
  </si>
  <si>
    <t>Analisar criticamente um sistema de software sob vários aspectos (correção, usabilidade, eficiência, ...)</t>
  </si>
  <si>
    <t>ES-H-010</t>
  </si>
  <si>
    <t>Criar e manter modelos (por exemplo usando UML) e artefatos para desenvolvimento e evolução de software</t>
  </si>
  <si>
    <t>ES-H-011</t>
  </si>
  <si>
    <t>Aplicar técnicas formais para garantir a correção do software</t>
  </si>
  <si>
    <t xml:space="preserve">Métodos Formais (Especificação formal, Enfoques formais para modelagem e análise, model checking) </t>
  </si>
  <si>
    <t>IA-H-001</t>
  </si>
  <si>
    <t>Avaliar a solução mais adequada para um problema de tomada de decisão (i.e. controle), identificando suas características e verificando a aplicabilidade de algoritmos de aprendizado por reforço ou planejamento em conjunto com heurísticas apropriadas, de acordo com os recursos computacionais disponíveis.</t>
  </si>
  <si>
    <t>IA-H-002</t>
  </si>
  <si>
    <t>Modelar um problema de satisfação de restrições para uso de um solver ou método aproximado.</t>
  </si>
  <si>
    <t>IA-H-003</t>
  </si>
  <si>
    <t>Identificar impactos positivos e negativos da implantação de um sistema de IA.</t>
  </si>
  <si>
    <t>IA-H-004</t>
  </si>
  <si>
    <t xml:space="preserve">Compreender as vantagens, desvantagens e limites computacionais de diferentes algoritmos, solvers ou técnicas de inteligência artificial. </t>
  </si>
  <si>
    <t>IA-H-005</t>
  </si>
  <si>
    <t>Representar domínios probabilísticos, identificando as variáveis e suas dependências.</t>
  </si>
  <si>
    <t>IA-H-006</t>
  </si>
  <si>
    <t>Identificar as características de um ambiente competitivo (e.g. jogo) e aplicar o raciocínio de otimização min-max, identificando a aplicabilidade, limitações e ajustes necessários dos algoritmos de busca com adversário</t>
  </si>
  <si>
    <t>IA-H-007</t>
  </si>
  <si>
    <t>Identificar as possibilidades e limites das abordagens estatísticas e simbólicas de IA, bem como maneiras de uso integrado de ambas</t>
  </si>
  <si>
    <t>Aprendizado de máquina</t>
  </si>
  <si>
    <t>IA-H-008</t>
  </si>
  <si>
    <t>Compreender os diversos paradigmas, classes de métodos e métodos de aprendizado de máquina.</t>
  </si>
  <si>
    <t>-- Aprendizado supervisionado</t>
  </si>
  <si>
    <t>IA-H-009</t>
  </si>
  <si>
    <t>Identificar se a tarefa é preditiva ou descritiva, de acordo com os requisitos do problema e os dados disponíveis</t>
  </si>
  <si>
    <t>IA-H-010</t>
  </si>
  <si>
    <t>Propor uma solução adequada em termos de eficácia e eficiência para um problema de aprendizado de máquina de acordo com a descrição e requisitos do problema, os dados e recursos computacionais disponíveis.</t>
  </si>
  <si>
    <t>IA-H-011</t>
  </si>
  <si>
    <t>Avaliar de forma correta e robusta diferentes algoritmos de aprendizado de máquina, utilizando métricas de desempenho e estratégias de avaliação apropriadas para o tipo de tarefa em questão.</t>
  </si>
  <si>
    <t>IA-H-012</t>
  </si>
  <si>
    <t>Preparar um conjunto de dados para uso por algoritmos de aprendizado de máquina, tratando a dimensionalidade, escala de valores, entradas ausentes e atributos menos relevantes para a tarefa em questão, de acordo com os requisitos dos algoritmos utilizados.</t>
  </si>
  <si>
    <t>IA-H-013</t>
  </si>
  <si>
    <t>Modelar um problema de controle como Processo de Decisão de Markov para uso de um algoritmo de aprendizado por reforço.</t>
  </si>
  <si>
    <t>IA-H-014</t>
  </si>
  <si>
    <t>Identificar a técnica mais apropriada de aprendizado por reforço de acordo com a dimensionalidade das percepções e ações.</t>
  </si>
  <si>
    <t>IA-H-015</t>
  </si>
  <si>
    <t>Discernir aprendizado on- e off-policy em termos da política final aprendida e da recompensa adquirida ao longo do treinamento.</t>
  </si>
  <si>
    <t>IA-H-016</t>
  </si>
  <si>
    <t>Discernir o aprendizado baseado em Monte Carlo do baseado em diferenças temporais e dos métodos ator-crítico quanto à coleta de experiências e à atualização da política</t>
  </si>
  <si>
    <t>IA-H-017</t>
  </si>
  <si>
    <t>Avaliar as vantagens e desvantagens de métodos de aprendizado baseado em modelos, com relação ao aproveitamento de experiências coletadas e possível integração com métodos de planejamento</t>
  </si>
  <si>
    <t>IA-H-018</t>
  </si>
  <si>
    <t>Compreender a otimização baseada em gradiente como elemento essencial das técnicas de aprendizado profundo.</t>
  </si>
  <si>
    <t>IA-H-019</t>
  </si>
  <si>
    <t>Prototipar uma solução de aprendizado supervisionado para um problema de predição</t>
  </si>
  <si>
    <t>IA-H-020</t>
  </si>
  <si>
    <t>Identificar e mitigar under- e overfitting em aprendizado supervisionado</t>
  </si>
  <si>
    <t>IA-H-021</t>
  </si>
  <si>
    <t>Entender as possibilidades e limitações de cada classe de algoritmos com relação à tarefa (regressão/classificação), à natureza dos dados a serem processados (dados estruturados, imagens, textos e grafos) e a sua independência (dados independentes vs dados sequenciais).</t>
  </si>
  <si>
    <t>IA-H-022</t>
  </si>
  <si>
    <t>Obter modelos pré-treinados e ajustá-los para aplicação em problemas de predição</t>
  </si>
  <si>
    <t>IA-H-023</t>
  </si>
  <si>
    <t>Identificar a necessidade de realizar combinação de modelos preditivos, avaliando as vantagens e desvantagens das diferentes abordagens de ensemble</t>
  </si>
  <si>
    <t>IA-H-024</t>
  </si>
  <si>
    <t>Definir métricas de similaridade e o método de agrupamento mais apropriados de acordo com os dados e recursos computacionais disponíveis</t>
  </si>
  <si>
    <t>IA-H-025</t>
  </si>
  <si>
    <t>Identificar a necessidade de redução de dimensionalidade nos dados e avaliar a técnica apropriada para o problema</t>
  </si>
  <si>
    <t>IA-H-026</t>
  </si>
  <si>
    <t>Compreender as formas de representação de dados em linguagem natural, avaliando sua capacidade de representação, eficiência e eficácia</t>
  </si>
  <si>
    <t>IA-H-027</t>
  </si>
  <si>
    <t>Identificar o algoritmo mais apropriado para as diferentes tarefas de PLN, considerando os dados e recursos computacionais disponíveis</t>
  </si>
  <si>
    <t>IA-H-028</t>
  </si>
  <si>
    <t>Prototipar uma solução para uma tarefa de PLN, de forma a estruturar a preparação dos dados, o uso do algoritmo e a aferição de métricas de desempenho</t>
  </si>
  <si>
    <t>IA-H-029</t>
  </si>
  <si>
    <t>Desenvolver aplicações que tratem da compreensão e geração de linguagem</t>
  </si>
  <si>
    <t>IA-H-030</t>
  </si>
  <si>
    <t>Compreender todas as etapas de um processo de descoberta de conhecimento a partir de dados (e.g,. etapas do CRISP-DM)</t>
  </si>
  <si>
    <t>IA-H-031</t>
  </si>
  <si>
    <t>Conhecer os problemas, técnicas e ferramentas inerentes às atividades de engenharia de dados, incluindo grandes voumes de dados e paralelismo</t>
  </si>
  <si>
    <t>IA-H-032</t>
  </si>
  <si>
    <t>Saber aplicar técnicas de modelagem (e.g. estatística, IA, visualização analítica, etc) para encontrar padrões em dados</t>
  </si>
  <si>
    <t>IA-H-033</t>
  </si>
  <si>
    <t>Saber inserir projetos de ciência de dados em problemas de negócio de relevância às empresas e organizações para geração de soluções de impacto (economico, teconológico, social, etc)</t>
  </si>
  <si>
    <t>IA-H-034</t>
  </si>
  <si>
    <t>Compreender as atividades envolvidas em um processo de engenharia de conhecimento e os contextos de uso desta abordagem</t>
  </si>
  <si>
    <t>Noções de engenharia de conhecimento</t>
  </si>
  <si>
    <t>IA-H-035</t>
  </si>
  <si>
    <t>Compreender as teorias de modelagem conceitual (metafísica, ontologias, e outras) para determinar as melhores estratégias e abordagens para criar modelos de conhecimento e informações</t>
  </si>
  <si>
    <t>Modelagem conceitual (quebrar nas teorias mais importantes)</t>
  </si>
  <si>
    <t>IA-H-036</t>
  </si>
  <si>
    <t>Formular modelos de representação de conhecimento computacionalmente eficientes para diferentes aplicações</t>
  </si>
  <si>
    <t>IA-H-037</t>
  </si>
  <si>
    <t>Criar modelos de conhecimento para construir soluções</t>
  </si>
  <si>
    <t>IA-H-038</t>
  </si>
  <si>
    <t>Avaliar a abordagem adequada de representação de conhecimento em diferentes contextos</t>
  </si>
  <si>
    <t>IA-H-039</t>
  </si>
  <si>
    <t>Criar soluções baseadas em conhecimento explícito para resolução de problemas, aplicando modelos de conhecimento adequados e raciocínio</t>
  </si>
  <si>
    <t>IA-H-040</t>
  </si>
  <si>
    <t>Aplicar análise ontológica para esclarecimento conceitual e elaboração de modelos de conhecimento bem fundamentados e adequados para representar o conhecimento do domínio</t>
  </si>
  <si>
    <t>IA-H-041</t>
  </si>
  <si>
    <t>Avaliar as técnicas mais adequadas para adquirir conhecimento de diferentes fontes</t>
  </si>
  <si>
    <t>IA-H-042</t>
  </si>
  <si>
    <t>Analisar o conhecimento de domínio, realizando as distinções adequadas</t>
  </si>
  <si>
    <t>IA-H-043</t>
  </si>
  <si>
    <t>Avaliar a aplicabilidade de abordagens de IA baseadas em conhecimento explícito em diferentes contextos</t>
  </si>
  <si>
    <t>LP-H-001</t>
  </si>
  <si>
    <t>CONCEPÇÃO  de  linguagens formais desde sua sintaxe, semântica e aspectos pragmáticos de sua adequação como ferramenta para solução de problemas (LPs) ou para descrição de dados</t>
  </si>
  <si>
    <t>LP-H-002</t>
  </si>
  <si>
    <t xml:space="preserve">SINTAXE - Uso autômatos finitos e expressões regulares e gramáticas para descrever linguagens formais, compreendendo a relação entre formalismos geradores e reconhecedores das respectivas linguagens e identificar o uso para as mais variadas linguagens (não somente para  linguagens de programaçao) </t>
  </si>
  <si>
    <t>LP-H-003</t>
  </si>
  <si>
    <t>SINTAXE - Habilidade para poder exprimir padrões por intermédio de expressões regulares de maneira a procurar padrões em grande volumes de dados.</t>
  </si>
  <si>
    <t>LP-H-004</t>
  </si>
  <si>
    <t>PRAGMÁTICA: Implementação de  analisadores léxicos e sintáticos  a partir de ERs, autômatos e gramáticas</t>
  </si>
  <si>
    <t>LP-H-005</t>
  </si>
  <si>
    <t>SEMÂNTICA - habilidade para definir de forma indutiva a semântica estática (sistema de tipos) e semântica dinâmica (comportamento operacional) de uma linguagem</t>
  </si>
  <si>
    <t>LP-H-006</t>
  </si>
  <si>
    <t>SEMÂNTICA - provar propriedades de linguagens de programação a partir da especificação da semântica estática e dinâmica</t>
  </si>
  <si>
    <t>LP-H-007</t>
  </si>
  <si>
    <t>SEMÂNTICA: reconhecer sistemas de tipos de LPs  como elementos disciplinadores da programação e organizadores de LPs do ponto de vista de Engenharia de Software</t>
  </si>
  <si>
    <t>LP-H-008</t>
  </si>
  <si>
    <t>PRAGMÁTICA: Implementação de  analisadores semânticos a partir de especificação de semântica estática</t>
  </si>
  <si>
    <t>LP-H-009</t>
  </si>
  <si>
    <t>PRAGMÁTICA - Habilidade de poder criar elementos e ações que permitam traduzir uma linguagem de programação no nível de usuário para um nível de abstração computacional mais baixo (geração de código)</t>
  </si>
  <si>
    <t>LP-H-010</t>
  </si>
  <si>
    <t>PRAGMÁTICA - Habilidade para projetar processadores de linguagens (LPs, ou de descrição de dados) identificando suas principais etapas e as diferentes representaçoes pelas quais passa um programa . Tipicamente, no caso de LPs, etapas de front-end (análise léxica, sintática e semântica) e etapas back end (avaliação, no caso de interpretadores e geração de código, no caso de compiladores)</t>
  </si>
  <si>
    <t>LP-H-011</t>
  </si>
  <si>
    <t>PRAGMÁTICA -  Habilidade de identificar caracteristicas e propriedades de LPs existentes tais como: propósito geral x DSL x script; alto nível x baixo nível; estaticamente x dinamicamente tipadas; funcional, lógica, OO, imperativa; núcleo x acúcar sintático, e escolher a mais adequada para uso na solução de problemas</t>
  </si>
  <si>
    <t>LP-H-012</t>
  </si>
  <si>
    <t>PRAGMÁTICA - dada uma linguagem, identificar os recursos oferecidos por ela e selecionar os mais adequados para modelar estruturas de dados e representar algoritmos. Analisar esses  recursos  em termos de desempenho, eficácia, e da contribuição para a obtenção de programas robustos.</t>
  </si>
  <si>
    <t>LP-H-013</t>
  </si>
  <si>
    <t>PRAGMÁTICA: habilidade para usar ferramentas e recursos do ecossitema de Linguagens para geração de parsers,  geração de documentação, para testes unitátios, "builders", e ferramentas para controle de versões</t>
  </si>
  <si>
    <t>MA-H-001</t>
  </si>
  <si>
    <t>Compreender os conceitos relacionados ao cálculo diferencial e integral  (em uma ou mais variáveis reais) sabendo aplicar os mesmos na resolução de problemas como minimização de funções, cálculo de áreas de formas geométricas complexas, entre outros.</t>
  </si>
  <si>
    <t>MA-H-002</t>
  </si>
  <si>
    <t>Conhecer as principais definições, resultados e notações associadas a conjuntos, relações e funções, em particular para a descrição de objetos matemáticos como linguagens formais e estruturas algébricas.</t>
  </si>
  <si>
    <t xml:space="preserve">Conjuntos, operações, diagramas de venn. Relações e tipos de relações (ordem parcial, equivalência). Funções totais e parciais. </t>
  </si>
  <si>
    <t>MA-H-003</t>
  </si>
  <si>
    <t>Saber construir e reconhecer demonstrações matemáticas válidas, conhecendo as principais estruturas de prova -- em particular provas por indução estrutural.</t>
  </si>
  <si>
    <t>MA-H-004</t>
  </si>
  <si>
    <t>Conhecer os conceitos fundamentais de álgebra linear, os principais resultados formais e as mais importantes aplicações em computação como em computação gráfica e inteligência artificial</t>
  </si>
  <si>
    <t>MA-H-005</t>
  </si>
  <si>
    <t>Saber aplicar lógica formal para a modelagem de raciocínios e verificação de validade de argumentos.</t>
  </si>
  <si>
    <t>MA-H-006</t>
  </si>
  <si>
    <t>Ser capaz de especificar formalmente o comportamento de um dado algoritmo ou programa, assim como de provar a correção deste em relação a esta especificação.</t>
  </si>
  <si>
    <t>MA-H-007</t>
  </si>
  <si>
    <t>Calcular de forma correta o número de possibilidades de um dado cenário ou de uma coleção de objetos.</t>
  </si>
  <si>
    <t>MA-H-008</t>
  </si>
  <si>
    <t xml:space="preserve">Ser capaz de resolver simbolicamente equações de recorrência, podendo estas estarem associadas à contagem de objetos ou à contagem de passos de execução de algoritmos recursivos. </t>
  </si>
  <si>
    <t>MA-H-009</t>
  </si>
  <si>
    <t xml:space="preserve">Compreender os conceitos relacionados a equaçõs diferenciais, sabendo identificar o que estas modelam, quais os principais tipos (ordinárias, lineares, etc.) e ser capaz de resolver simbolicamente equações simples. </t>
  </si>
  <si>
    <t>MA-H-010</t>
  </si>
  <si>
    <t>Compreender a noção de erro em operações de ponto flutuante, sabendo estimar o seu impacto em algoritmos numéricos.</t>
  </si>
  <si>
    <t>MA-H-011</t>
  </si>
  <si>
    <t xml:space="preserve">Conhecer e saber aplicar métodos de resolução numérica de problemas como busca de raízes de equações, diferenciação e integração de funções, e resolução de equações diferenciais. </t>
  </si>
  <si>
    <t>MA-H-012</t>
  </si>
  <si>
    <t>Conhecer o papel das séries de potências, sendo capaz de determinar parâmetros como intervalo de convergência, e o seu uso na aproximação de funções ou resolução de recorrências (funções geradoras).</t>
  </si>
  <si>
    <t>MA-H-013</t>
  </si>
  <si>
    <t>Conhecer os principais resultados de teoria dos números, como aritmética modular, divisibilidade, fatoração, primalidade, e suas respectivas aplicações em criptografia e segurança.</t>
  </si>
  <si>
    <t>MA-H-014</t>
  </si>
  <si>
    <t>Ser capaz de estimar corretamente a probabilidade de ocorrência de eventos.</t>
  </si>
  <si>
    <t>MA-H-015</t>
  </si>
  <si>
    <t>Ser capaz de sumarizar grandes quantidades de dados por meio de estatísticas adequadas, e ser capaz de testar a validade estatística de hipóteses.</t>
  </si>
  <si>
    <t>MA-H-016</t>
  </si>
  <si>
    <t>Saber modelar por meio de grafos diversos problemas que envolvam a conectividade de estruturas.</t>
  </si>
  <si>
    <t>MA-H-017</t>
  </si>
  <si>
    <t>Conhecer os principais teoremas, problemas e algoritmos associados a grafos, sabendo aplicá-los na construção de soluções computacionais.</t>
  </si>
  <si>
    <t>PE-H-001</t>
  </si>
  <si>
    <t>Compreender principais capacidades e limitações de sistemas de robôs móveis inteligentes atuais (e.g. veículos autônomos, robôs terrestres), dados os sensores disponíveis nos sistemas sendo considerados e o processamento computacional que pode ser feito com os dados obtidos.</t>
  </si>
  <si>
    <t>PE-H-002</t>
  </si>
  <si>
    <t>Desenvolver uma aplicação em uma plataforma robótica padrão, por exemplo usando ROS (Robot Operating System) conectado a um robô móvel físico ou simulado.</t>
  </si>
  <si>
    <t>PE-H-003</t>
  </si>
  <si>
    <t>Entender os principais problemas de percepção de sistemas robóticos, como mapeamento e localização, e saber aplicar soluções tradicionais de estimativa de estado para tais problemas (e.g. soluções probabilisticas baseadas em filtragem Bayesiana) considerando as incertezas inerentes aos problemas</t>
  </si>
  <si>
    <t>PE-H-004</t>
  </si>
  <si>
    <t>Aplicar diferentes técnicas de navegação autônoma de robôs móveis dependendo das características do ambiente, dos sensores e dos atuadores do sistema.</t>
  </si>
  <si>
    <t>PE-H-005</t>
  </si>
  <si>
    <t>Compreender os impactos éticos, sociais e legais dos jogos como ferramentas de entretenimento, treinamento e educação</t>
  </si>
  <si>
    <t>PE-H-006</t>
  </si>
  <si>
    <t>Compreender a lógica de desenvolvimento usando game engines, úteis também para o desenvolvimento de simuladores e sistemas de realidade virtual e aumentada</t>
  </si>
  <si>
    <t>PE-H-007</t>
  </si>
  <si>
    <t>Desenvolver aplicações usando game engines</t>
  </si>
  <si>
    <t>PE-H-008</t>
  </si>
  <si>
    <t>Explorar técnicas de computação gráfica (rendering e animação) real-time em ambiente de produção de sistemas interativos</t>
  </si>
  <si>
    <t>PE-H-009</t>
  </si>
  <si>
    <t>Propor soluções inovadoras baseadas no uso de computação gráfica 3D em tempo real</t>
  </si>
  <si>
    <t>PE-H-010</t>
  </si>
  <si>
    <t>Desenvolver e implementar uma aplicação web</t>
  </si>
  <si>
    <t xml:space="preserve">Linguagens de programação para web (e.g., JavaScript, HTML5, CSS) </t>
  </si>
  <si>
    <t>PE-H-011</t>
  </si>
  <si>
    <t>Descrever requisitos, restrições e oportunidades de plataformas web</t>
  </si>
  <si>
    <t>PE-H-012</t>
  </si>
  <si>
    <t>Comparar e contrastar programação web e programação de propósito geral</t>
  </si>
  <si>
    <t>PE-H-013</t>
  </si>
  <si>
    <t>Descrever diferenças entre Software-como-serviço e software tradicional</t>
  </si>
  <si>
    <t>PE-H-014</t>
  </si>
  <si>
    <t>Discutir como padrões web impactam desenvolvimento de software</t>
  </si>
  <si>
    <t>PE-H-015</t>
  </si>
  <si>
    <t>Analisar aplicações web existentes em relação a padrões</t>
  </si>
  <si>
    <t>PE-H-016</t>
  </si>
  <si>
    <t>Compreender a lógica de desenvolvimento e de uso de aplicações mobile</t>
  </si>
  <si>
    <t>PE-H-017</t>
  </si>
  <si>
    <t>Desenvolver protótipos funcionais usando ferramentas no-code e implementar aplicações mobile simples usando plataformas cross-platform</t>
  </si>
  <si>
    <t>PE-H-018</t>
  </si>
  <si>
    <t>Compreender as potencialidades e recursos avançados disponíveis nos dispositivos móveis atuais</t>
  </si>
  <si>
    <t>PE-H-019</t>
  </si>
  <si>
    <t>Propor soluções inovadoras baseadas no uso de dispositivos móveis</t>
  </si>
  <si>
    <t>RC-H-001</t>
  </si>
  <si>
    <t>Compreender a organização e o funcionamento da Internet, incluindo suas principais terminologias, componentes, protocolos, mecanismos e interações.</t>
  </si>
  <si>
    <t>RC-H-002</t>
  </si>
  <si>
    <t xml:space="preserve">Listar e descrever mecanismos-chave para comunicação confiável, classificando demandas de diferentes aplicações em rede, incluindo controle de fluxo e de congestionamento, roteamento e escalabilidade na Internet. </t>
  </si>
  <si>
    <t>RC-H-003</t>
  </si>
  <si>
    <t>Caracterizar métricas e indicadores chaves de desempenho em redes, como atraso, perda, jitter e vazão, bem como reconhecer fontes e causas de interferência nesses indicadores.</t>
  </si>
  <si>
    <t>RC-H-004</t>
  </si>
  <si>
    <t>Compreender fundamentos de funcionamento de tecnologias de redes, cabeadas e sem fio, de diferentes alcances.</t>
  </si>
  <si>
    <t>RC-H-005</t>
  </si>
  <si>
    <t>Reconhecer, caracterizar e identificar o benefício de tecnologias e mecanismos emergentes em redes de comunicação.</t>
  </si>
  <si>
    <t>RC-H-006</t>
  </si>
  <si>
    <t>Aplicar princípios de gerenciamento para assegurar o funcionamento adequado de infraestrutura, serviços e aplicações.</t>
  </si>
  <si>
    <t>RC-H-007</t>
  </si>
  <si>
    <t>Compreender aspectos de interoperabilidade e integração para sistemas de Internet das Coisas e seus desdobramentos em segmentos diversos de aplicação.</t>
  </si>
  <si>
    <t>RC-H-008</t>
  </si>
  <si>
    <t>Projetar sistemas interconectados em rede envolvendo dispositivos móveis e fixos integrados ao ambiente, seja para aquisição de dados ou para atuação nesse ambiente.</t>
  </si>
  <si>
    <t>Desenvolver um sistema que incorpore vários princípios de segurança e avaliar sua resiliência a ataques</t>
  </si>
  <si>
    <t>SO-H-001</t>
  </si>
  <si>
    <t>Compreender os objetivos e funções dos sistemas operacionais, principais mecanismos e tecnicas utilizados na construção desses sistemas e suas relações de conveniência, eficiência e capacidade de evolução.</t>
  </si>
  <si>
    <t>SO-H-002</t>
  </si>
  <si>
    <t>Compreender como o design de software para de sistemas operacionais afeta a robustez e a capacidade de manutenção de um sistema operacional</t>
  </si>
  <si>
    <t>SO-H-003</t>
  </si>
  <si>
    <t>Compreender a dinâmica de chamadas do sistema, a separação entre modo kernel e modo de usuário e seus efeitos sobre a segurança e o desempenho, as vantagens e desvantagens de usar o processamento de interrupção para habilitar a multiprogramação</t>
  </si>
  <si>
    <t>SO-H-004</t>
  </si>
  <si>
    <t>Comparar e contrastar os algoritmos comuns usados para escalonamento (preemptivo e não preemptivo) de tarefas em sistemas operacionais, como prioridade, comparação de desempenho e esquemas de compartilhamento justo</t>
  </si>
  <si>
    <t>SO-H-005</t>
  </si>
  <si>
    <t>Analisar possíveis ameaças aos sistemas operacionais e os recursos de segurança projetados para protegê-los</t>
  </si>
  <si>
    <t>SO-H-006</t>
  </si>
  <si>
    <t>Aplicar técnicas de isolamento, proteção nas funções do sistema operacional (por exemplo, escalonamento de processos e operações em disco, semáforos etc.)</t>
  </si>
  <si>
    <t>SO-H-007</t>
  </si>
  <si>
    <t>Compreender como o sistema operacional pode facilitar a tolerância a falhas, confiabilidade e disponibilidade, a variedade de métodos para implementar a tolerância a falhas e as compensações de desempenho e flexibilidade que afetam o uso de tolerância a falhas</t>
  </si>
  <si>
    <t>SO-H-008</t>
  </si>
  <si>
    <t>Identificar uma condição de corrida em um determinado programa e como a introdução de paralelismo em um programa sequencial melhoraria a taxa de transferência e/ou reduziria a latência e como isso pode afetar a eficiência energética</t>
  </si>
  <si>
    <t>SO-H-009</t>
  </si>
  <si>
    <t>Escrever programas distribuídos que apliquem técnicas de filtro/mapeamento/redução, serviços que criem threads para atender a solicitações de diversos clientes em paralelo</t>
  </si>
  <si>
    <t>GD-H-001</t>
  </si>
  <si>
    <t>Avaliar os modelos e tecnologias de Bancos de Dados para tratar dados não relacionais, semi-estruturados e com estrutura complexa, além de tratar de grandes volumes de dados.</t>
  </si>
  <si>
    <t>GD-H-002</t>
  </si>
  <si>
    <t>Aplicar as implementações de bancos de dados para o armazenamento de dados sanitizados para processamento de ciência de dados</t>
  </si>
  <si>
    <t>GD-H-003</t>
  </si>
  <si>
    <t>Avaliar os conceitos e técnicas relacionados à arquitetura e ao desempenho de sistemas de gerência de banco de dados com vistas à redução do tempo de resposta e a aumento do throughput de transações de banco de dados.</t>
  </si>
  <si>
    <t>GD-H-004</t>
  </si>
  <si>
    <t>Conhecer os conceitos e técnicas relacionados a manutenção da integridade de dados e estratégias de implementação para determinar a eficiência dos sistemas gerenciadores de bancos de dados.</t>
  </si>
  <si>
    <t>GD-H-005</t>
  </si>
  <si>
    <t>Aplicar e investigar os conceitos de desempenho de bancos de dados em sistemas comerciais</t>
  </si>
  <si>
    <t>GD-H-006</t>
  </si>
  <si>
    <t>Avaliar os princípios da organização e busca por dados não estruturados (principalmente textuais)</t>
  </si>
  <si>
    <t>GD-H-007</t>
  </si>
  <si>
    <t>Aplicar a metodologia da avaliação experimental em recuperação de Informação</t>
  </si>
  <si>
    <t>GD-H-008</t>
  </si>
  <si>
    <t>GD-H-009</t>
  </si>
  <si>
    <t>Conhecer os problemas, técnicas e ferramentas inerentes às atividades de engenharia de dados, DATA OPS, incluindo dados não relacionais, semi-estruturados e de estrutura complexa. Lidar com grandes voumes de dados e paralelismo</t>
  </si>
  <si>
    <t>GD-H-010</t>
  </si>
  <si>
    <t>GD-H-011</t>
  </si>
  <si>
    <t>Listar conteúdos da área que deveriam ser ministrados o mais cedo possível no currículo, mesmo que em uma disciplina que não seja especificamente da área.</t>
  </si>
  <si>
    <t>Comentários</t>
  </si>
  <si>
    <t>Computação simbólica vs baseada em dados</t>
  </si>
  <si>
    <t>Introdutório</t>
  </si>
  <si>
    <t>Mostrar as diferenças entre computação "tradicional" (simbólica) e baseada em dados. Idealmente seria ministrado na propria cadeira de IA, mas poderia ser apresentado em uma "Introdução à CIC" também.</t>
  </si>
  <si>
    <t>Nome completo</t>
  </si>
  <si>
    <t>Algoritmos, Estruturas de Dados, Lógica, Grafos, Pensamento Computacional</t>
  </si>
  <si>
    <t>Arquitetura, Organização, Circuitos</t>
  </si>
  <si>
    <t>Computação Gráfica, IHC, Processamento de Imagens, Realidade Virtual</t>
  </si>
  <si>
    <t>Computabilidade, Complexidade, Projeto e Análise de Algoritmos</t>
  </si>
  <si>
    <t>Computador e Sociedade, Ética, Direito</t>
  </si>
  <si>
    <t>Gerência de Dados</t>
  </si>
  <si>
    <t>Inteligência Artificial, PLN, Ciência de Dados</t>
  </si>
  <si>
    <t>Linguagens de Programação, Compiladores</t>
  </si>
  <si>
    <t>Matemática Discreta, Contínua, Probabilidade e Estatística</t>
  </si>
  <si>
    <t>Miscelânea (Quantum, Biotech, Método científico, …)</t>
  </si>
  <si>
    <t>Plataformas Especializadas (Robótica, Web, Mobile, Games)</t>
  </si>
  <si>
    <t>Segurança</t>
  </si>
  <si>
    <t>Sistemas Operacionais, Programação Paralela, Sistemas Distribuídos, Tolerância a Falhas</t>
  </si>
  <si>
    <t>Etapa sugerida</t>
  </si>
  <si>
    <t>CH</t>
  </si>
  <si>
    <t>Pré-requisitos</t>
  </si>
  <si>
    <t>Link para Trello</t>
  </si>
  <si>
    <t>Cálculo 1</t>
  </si>
  <si>
    <t>90h</t>
  </si>
  <si>
    <t>MatDisc1</t>
  </si>
  <si>
    <t>Matemática Discreta 1</t>
  </si>
  <si>
    <t>60h</t>
  </si>
  <si>
    <t>MA-001,MA-002</t>
  </si>
  <si>
    <t>Cálculo 2</t>
  </si>
  <si>
    <t>Logic1</t>
  </si>
  <si>
    <t>Lógica 1</t>
  </si>
  <si>
    <t>MatDisc2</t>
  </si>
  <si>
    <t>Matemática Discreta 2</t>
  </si>
  <si>
    <t>MA-004,MA-005,MA-015</t>
  </si>
  <si>
    <t>Calc1,MatDisc2</t>
  </si>
  <si>
    <t>Logic2</t>
  </si>
  <si>
    <t>Lógica 2</t>
  </si>
  <si>
    <t>EqDif</t>
  </si>
  <si>
    <t>Equações Diferenciais</t>
  </si>
  <si>
    <t>MA-013,MA-014</t>
  </si>
  <si>
    <t>Cálculo Numérico</t>
  </si>
  <si>
    <t>Projeto e Análise de Algoritmos 1</t>
  </si>
  <si>
    <t>FunAlg,AlgPro,EstDad,Calc1,Logic1,ProbEst</t>
  </si>
  <si>
    <t>Projeto e Análise de Algoritmos 2</t>
  </si>
  <si>
    <t>Teoria da Computação 1</t>
  </si>
  <si>
    <t>Teoria da Computação 2</t>
  </si>
  <si>
    <t>OtiComb</t>
  </si>
  <si>
    <t>TeoComp2,PAA2,AlgLin</t>
  </si>
  <si>
    <t>IA-001, IA-002, IA-003, IA-004, IA-005, IA-006, IA-007, IA-009, IA-013, IA-014, IA-015, IA-020, IA-031, IA-032</t>
  </si>
  <si>
    <t>TCP,TeoComp2,PAA2,ProbEst</t>
  </si>
  <si>
    <t>IA-018, IA-019, IA-027, IA-029, IA-031, IA-042</t>
  </si>
  <si>
    <t>NLP</t>
  </si>
  <si>
    <t>IA-020, IA-021, IA-022, IA-023, IA-024, IA-025</t>
  </si>
  <si>
    <t>SBC</t>
  </si>
  <si>
    <t>Sistemas Baseados em Conhecimento</t>
  </si>
  <si>
    <t>IA-052, IA-053, IA-054, IA-055, IA-056, IA-057, IA-058</t>
  </si>
  <si>
    <t>IA-H-034, IA-H-035, IA-H-036, IA-H-037,  IA-H-038, IA-H-039, IA-H-040, IA-H-041, IA-H-042, IA-H-043</t>
  </si>
  <si>
    <t>IA, Logic1</t>
  </si>
  <si>
    <t>DS</t>
  </si>
  <si>
    <t>Introdução à Ciência de Dados</t>
  </si>
  <si>
    <t>IA-048, IA-049, IA-050, IA-051</t>
  </si>
  <si>
    <t>RL</t>
  </si>
  <si>
    <t>Introdução ao Aprendizado por Reforço</t>
  </si>
  <si>
    <t>IA-031 a IA-037</t>
  </si>
  <si>
    <t>Pensamento computacional</t>
  </si>
  <si>
    <t>INCOMPLETO</t>
  </si>
  <si>
    <t>INF01202</t>
  </si>
  <si>
    <t>ALGORÍTMOS E PROGRAMAÇÃO - CIC</t>
  </si>
  <si>
    <t>MAT01353</t>
  </si>
  <si>
    <t>INF01087</t>
  </si>
  <si>
    <t>INTRODUÇÃO À CIÊNCIA DA COMPUTAÇÃO</t>
  </si>
  <si>
    <t>INF05508</t>
  </si>
  <si>
    <t>LÓGICA PARA COMPUTAÇÃO</t>
  </si>
  <si>
    <t>INF05008</t>
  </si>
  <si>
    <t>PENSAMENTO COMPUTACIONAL N</t>
  </si>
  <si>
    <t>INF01075</t>
  </si>
  <si>
    <t>ARQUITETURA DE COMPUTADORES</t>
  </si>
  <si>
    <t>MAT01354</t>
  </si>
  <si>
    <t>INF01203</t>
  </si>
  <si>
    <t>ESTRUTURAS DE DADOS</t>
  </si>
  <si>
    <t>MAT01375</t>
  </si>
  <si>
    <t>MAT02219</t>
  </si>
  <si>
    <t>INF01088</t>
  </si>
  <si>
    <t>TESTE E VERIFICAÇÃO DE SOFTWARE</t>
  </si>
  <si>
    <t>INF01145</t>
  </si>
  <si>
    <t>BANCOS DE DADOS</t>
  </si>
  <si>
    <t>INF01120</t>
  </si>
  <si>
    <t>DESENVOLVIMENTO DE SOFTWARE</t>
  </si>
  <si>
    <t>INF01086</t>
  </si>
  <si>
    <t>PROJETO DE CIRCUITOS DIGITAIS</t>
  </si>
  <si>
    <t>INF05027</t>
  </si>
  <si>
    <t>PROJETO E ANÁLISE DE ALGORITMOS I</t>
  </si>
  <si>
    <t>INF05005</t>
  </si>
  <si>
    <t>TEORIA DA COMPUTAÇÃO I</t>
  </si>
  <si>
    <t>MAT01355</t>
  </si>
  <si>
    <t>INF01127</t>
  </si>
  <si>
    <t>ENGENHARIA DE SOFTWARE N</t>
  </si>
  <si>
    <t>INF01043</t>
  </si>
  <si>
    <t>INTERAÇÃO HUMANO-COMPUTADOR E EXPERIÊNCIA DO USUÁRIO</t>
  </si>
  <si>
    <t>INF01113</t>
  </si>
  <si>
    <t>ORGANIZAÇÃO DE COMPUTADORES</t>
  </si>
  <si>
    <t>INF05028</t>
  </si>
  <si>
    <t>PROJETO E ANÁLISE DE ALGORITMOS II</t>
  </si>
  <si>
    <t>INF05501</t>
  </si>
  <si>
    <t>TEORIA DA COMPUTAÇÃO II</t>
  </si>
  <si>
    <t>MAT01032</t>
  </si>
  <si>
    <t>INF01047</t>
  </si>
  <si>
    <t>COMPUTAÇÃO GRÁFICA E VISUALIZAÇÃO I</t>
  </si>
  <si>
    <t>INF01048</t>
  </si>
  <si>
    <t>INTELIGÊNCIA ARTIFICIAL</t>
  </si>
  <si>
    <t>INF99003</t>
  </si>
  <si>
    <t>PROJETO EM CIÊNCIA E INOVAÇÃO</t>
  </si>
  <si>
    <t>INF01142</t>
  </si>
  <si>
    <t>SISTEMAS OPERACIONAIS I N</t>
  </si>
  <si>
    <t>INF01017</t>
  </si>
  <si>
    <t>APRENDIZADO DE MÁQUINA</t>
  </si>
  <si>
    <t>INF05029</t>
  </si>
  <si>
    <t>LINGUAGENS DE PROGRAMAÇÃO I</t>
  </si>
  <si>
    <t>INF01046</t>
  </si>
  <si>
    <t>PROCESSAMENTO DE IMAGENS E VISÃO COMPUTACIONAL I</t>
  </si>
  <si>
    <t>INF01008</t>
  </si>
  <si>
    <t>PROGRAMAÇÃO PARALELA</t>
  </si>
  <si>
    <t>INF01084</t>
  </si>
  <si>
    <t>REDES DE COMPUTADORES E INTERNET</t>
  </si>
  <si>
    <t>INF01045</t>
  </si>
  <si>
    <t>CIBERSEGURANÇA</t>
  </si>
  <si>
    <t>INF01083</t>
  </si>
  <si>
    <t>LINGUAGENS DE PROGRAMAÇÃO II</t>
  </si>
  <si>
    <t>INF05010</t>
  </si>
  <si>
    <t>OTIMIZAÇÃO COMBINATÓRIA</t>
  </si>
  <si>
    <t>INF01100</t>
  </si>
  <si>
    <t>PROCESSAMENTO DE LINGUAGEM NATURAL</t>
  </si>
  <si>
    <t>INF01085</t>
  </si>
  <si>
    <t>SISTEMAS DISTRIBUÍDOS E TOLERANTES A FALHAS</t>
  </si>
  <si>
    <t>INF99004</t>
  </si>
  <si>
    <t>PROJETO INTEGRADOR EM COMPUTAÇÃO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</si>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</sst>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trike/>
      <sz val="10"/>
      <color rgb="FF999999"/>
      <name val="Arial"/>
      <scheme val="minor"/>
    </font>
    <font>
      <b/>
      <sz val="8"/>
      <color theme="1"/>
      <name val="Arial"/>
      <scheme val="minor"/>
    </font>
    <font>
      <b/>
      <strike/>
      <sz val="10"/>
      <color rgb="FFFF0000"/>
      <name val="Arial"/>
      <scheme val="minor"/>
    </font>
    <font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0"/>
      <color rgb="FF0000FF"/>
      <name val="Arial"/>
      <scheme val="minor"/>
    </font>
    <font>
      <b/>
      <sz val="15"/>
      <color rgb="FFFF0000"/>
      <name val="Arial"/>
      <scheme val="minor"/>
    </font>
    <font>
      <sz val="10"/>
      <color rgb="FFCC0000"/>
      <name val="Arial"/>
      <scheme val="minor"/>
    </font>
    <font>
      <strike/>
      <sz val="8"/>
      <color rgb="FF999999"/>
      <name val="Arial"/>
      <scheme val="minor"/>
    </font>
    <font>
      <u/>
      <sz val="8"/>
      <color rgb="FF0000FF"/>
      <name val="Arial"/>
    </font>
    <font>
      <sz val="10"/>
      <color rgb="FF0000FF"/>
      <name val="Arial"/>
      <scheme val="minor"/>
    </font>
    <font>
      <sz val="10"/>
      <color rgb="FF000000"/>
      <name val="Arial"/>
      <scheme val="minor"/>
    </font>
    <font>
      <u/>
      <sz val="8"/>
      <color rgb="FF0000FF"/>
      <name val="Arial"/>
    </font>
    <font>
      <sz val="9"/>
      <color rgb="FF1F1F1F"/>
      <name val="&quot;Google Sans&quot;"/>
    </font>
    <font>
      <sz val="8"/>
      <color rgb="FF000000"/>
      <name val="Arial"/>
      <scheme val="minor"/>
    </font>
    <font>
      <sz val="10"/>
      <color rgb="FFC800C8"/>
      <name val="Arial"/>
      <scheme val="minor"/>
    </font>
    <font>
      <sz val="10"/>
      <color rgb="FF000000"/>
      <name val="&quot;Arial&quot;"/>
    </font>
    <font>
      <strike/>
      <sz val="10"/>
      <color rgb="FF999999"/>
      <name val="Arial"/>
      <scheme val="minor"/>
    </font>
    <font>
      <b/>
      <sz val="20"/>
      <color rgb="FF000000"/>
      <name val="Arial"/>
      <scheme val="minor"/>
    </font>
    <font>
      <b/>
      <sz val="20"/>
      <color rgb="FFFF0000"/>
      <name val="Arial"/>
      <scheme val="minor"/>
    </font>
    <font>
      <b/>
      <sz val="13"/>
      <color rgb="FF000000"/>
      <name val="Arial"/>
      <scheme val="minor"/>
    </font>
    <font>
      <b/>
      <sz val="13"/>
      <color rgb="FF9900FF"/>
      <name val="Arial"/>
      <scheme val="minor"/>
    </font>
    <font>
      <b/>
      <sz val="10"/>
      <color rgb="FF9900FF"/>
      <name val="Arial"/>
      <scheme val="minor"/>
    </font>
    <font>
      <sz val="10"/>
      <color rgb="FF181A1B"/>
      <name val="Arial"/>
      <scheme val="minor"/>
    </font>
    <font>
      <u/>
      <sz val="8"/>
      <color rgb="FF0000FF"/>
      <name val="Arial"/>
    </font>
    <font>
      <u/>
      <sz val="8"/>
      <color theme="1"/>
      <name val="Arial"/>
      <scheme val="minor"/>
    </font>
    <font>
      <u/>
      <sz val="8"/>
      <color rgb="FF0000FF"/>
      <name val="Arial"/>
    </font>
    <font>
      <sz val="10"/>
      <color rgb="FFFF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181A1B"/>
      <name val="Arial"/>
    </font>
    <font>
      <b/>
      <sz val="9"/>
      <color rgb="FF000000"/>
      <name val="Verdana"/>
    </font>
    <font>
      <u/>
      <sz val="8"/>
      <color rgb="FF000000"/>
      <name val="Verdana"/>
    </font>
    <font>
      <sz val="8"/>
      <color rgb="FF000000"/>
      <name val="Verdana"/>
    </font>
    <font>
      <b/>
      <sz val="8"/>
      <color rgb="FF000000"/>
      <name val="Verdana"/>
    </font>
    <font>
      <sz val="8"/>
      <color theme="1"/>
      <name val="Verdana"/>
    </font>
    <font>
      <u/>
      <sz val="8"/>
      <color rgb="FF0000FF"/>
      <name val="Verdana"/>
    </font>
    <font>
      <b/>
      <sz val="10"/>
      <color rgb="FFFF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000000"/>
      <name val="&quot;Arial&quot;"/>
    </font>
    <font>
      <b/>
      <strike/>
      <sz val="10"/>
      <color rgb="FF999999"/>
      <name val="Arial"/>
    </font>
    <font>
      <sz val="8"/>
      <name val="Arial"/>
    </font>
    <font>
      <u/>
      <sz val="8"/>
      <color rgb="FF1155CC"/>
      <name val="Arial"/>
    </font>
    <font>
      <sz val="8"/>
      <color theme="1"/>
      <name val="Arial"/>
    </font>
    <font>
      <sz val="8"/>
      <color rgb="FFFF0000"/>
      <name val="Arial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8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 applyNumberFormat="0" applyFill="0" applyBorder="0" applyAlignment="0" applyProtection="0"/>
  </cellStyleXfs>
  <cellXfs count="15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/>
    <xf numFmtId="0" fontId="6" fillId="0" borderId="0" xfId="0" applyFont="1" applyAlignment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9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9" fillId="4" borderId="0" xfId="0" applyFont="1" applyFill="1" applyAlignment="1"/>
    <xf numFmtId="0" fontId="12" fillId="4" borderId="0" xfId="0" applyFont="1" applyFill="1" applyAlignment="1"/>
    <xf numFmtId="0" fontId="9" fillId="4" borderId="0" xfId="0" applyFont="1" applyFill="1" applyAlignment="1">
      <alignment horizontal="center"/>
    </xf>
    <xf numFmtId="0" fontId="6" fillId="4" borderId="0" xfId="0" applyFont="1" applyFill="1" applyAlignment="1"/>
    <xf numFmtId="0" fontId="6" fillId="4" borderId="0" xfId="0" applyFont="1" applyFill="1" applyAlignment="1"/>
    <xf numFmtId="0" fontId="13" fillId="4" borderId="0" xfId="0" applyFont="1" applyFill="1" applyAlignment="1"/>
    <xf numFmtId="0" fontId="14" fillId="4" borderId="0" xfId="0" applyFont="1" applyFill="1" applyAlignment="1"/>
    <xf numFmtId="0" fontId="15" fillId="4" borderId="0" xfId="0" applyFont="1" applyFill="1" applyAlignment="1"/>
    <xf numFmtId="0" fontId="16" fillId="4" borderId="0" xfId="0" applyFont="1" applyFill="1" applyAlignment="1">
      <alignment horizontal="center"/>
    </xf>
    <xf numFmtId="0" fontId="6" fillId="4" borderId="0" xfId="0" applyFont="1" applyFill="1" applyAlignment="1"/>
    <xf numFmtId="0" fontId="6" fillId="4" borderId="0" xfId="0" applyFont="1" applyFill="1"/>
    <xf numFmtId="0" fontId="6" fillId="4" borderId="0" xfId="0" applyFont="1" applyFill="1" applyAlignment="1"/>
    <xf numFmtId="0" fontId="1" fillId="0" borderId="0" xfId="0" applyFont="1" applyAlignment="1">
      <alignment horizontal="center" vertical="center" wrapText="1"/>
    </xf>
    <xf numFmtId="0" fontId="13" fillId="0" borderId="0" xfId="0" applyFont="1" applyAlignment="1"/>
    <xf numFmtId="0" fontId="13" fillId="5" borderId="0" xfId="0" applyFont="1" applyFill="1" applyAlignment="1"/>
    <xf numFmtId="0" fontId="17" fillId="4" borderId="0" xfId="0" applyFont="1" applyFill="1" applyAlignment="1"/>
    <xf numFmtId="0" fontId="18" fillId="6" borderId="0" xfId="0" applyFont="1" applyFill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/>
    <xf numFmtId="0" fontId="13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9" fillId="4" borderId="0" xfId="0" applyFont="1" applyFill="1" applyAlignment="1"/>
    <xf numFmtId="0" fontId="16" fillId="4" borderId="0" xfId="0" applyFont="1" applyFill="1" applyAlignment="1"/>
    <xf numFmtId="0" fontId="20" fillId="4" borderId="0" xfId="0" applyFont="1" applyFill="1" applyAlignment="1"/>
    <xf numFmtId="0" fontId="6" fillId="4" borderId="0" xfId="0" applyFont="1" applyFill="1" applyAlignme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/>
    <xf numFmtId="0" fontId="21" fillId="0" borderId="0" xfId="0" applyFont="1" applyAlignment="1"/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22" fillId="0" borderId="0" xfId="0" applyFont="1"/>
    <xf numFmtId="0" fontId="25" fillId="4" borderId="0" xfId="0" applyFont="1" applyFill="1" applyAlignment="1">
      <alignment horizontal="center" wrapText="1"/>
    </xf>
    <xf numFmtId="0" fontId="26" fillId="4" borderId="0" xfId="0" applyFont="1" applyFill="1" applyAlignment="1">
      <alignment horizontal="left" wrapText="1"/>
    </xf>
    <xf numFmtId="0" fontId="27" fillId="4" borderId="0" xfId="0" applyFont="1" applyFill="1" applyAlignment="1">
      <alignment horizontal="left" wrapText="1"/>
    </xf>
    <xf numFmtId="0" fontId="2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9" fillId="0" borderId="0" xfId="0" applyFont="1" applyAlignment="1"/>
    <xf numFmtId="0" fontId="30" fillId="0" borderId="0" xfId="0" applyFont="1" applyAlignment="1"/>
    <xf numFmtId="0" fontId="31" fillId="0" borderId="0" xfId="0" applyFont="1" applyAlignment="1"/>
    <xf numFmtId="0" fontId="9" fillId="0" borderId="0" xfId="0" applyFont="1" applyAlignment="1">
      <alignment horizontal="left"/>
    </xf>
    <xf numFmtId="0" fontId="32" fillId="0" borderId="0" xfId="0" applyFont="1" applyAlignment="1"/>
    <xf numFmtId="0" fontId="33" fillId="6" borderId="0" xfId="0" applyFont="1" applyFill="1" applyAlignment="1"/>
    <xf numFmtId="0" fontId="34" fillId="0" borderId="0" xfId="0" applyFont="1" applyAlignment="1">
      <alignment horizontal="center"/>
    </xf>
    <xf numFmtId="0" fontId="34" fillId="0" borderId="0" xfId="0" applyFont="1" applyAlignment="1"/>
    <xf numFmtId="0" fontId="34" fillId="0" borderId="0" xfId="0" applyFont="1" applyAlignment="1">
      <alignment horizontal="center"/>
    </xf>
    <xf numFmtId="0" fontId="34" fillId="0" borderId="0" xfId="0" applyFont="1" applyAlignment="1"/>
    <xf numFmtId="0" fontId="1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Alignment="1"/>
    <xf numFmtId="0" fontId="35" fillId="0" borderId="0" xfId="0" applyFont="1" applyAlignment="1">
      <alignment horizontal="center"/>
    </xf>
    <xf numFmtId="0" fontId="35" fillId="0" borderId="0" xfId="0" applyFont="1" applyAlignment="1"/>
    <xf numFmtId="0" fontId="33" fillId="0" borderId="0" xfId="0" applyFont="1" applyAlignment="1">
      <alignment horizontal="center"/>
    </xf>
    <xf numFmtId="0" fontId="35" fillId="0" borderId="0" xfId="0" applyFont="1" applyAlignment="1"/>
    <xf numFmtId="0" fontId="35" fillId="0" borderId="0" xfId="0" applyFont="1" applyAlignment="1"/>
    <xf numFmtId="0" fontId="35" fillId="7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5" fillId="8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8" borderId="0" xfId="0" applyFont="1" applyFill="1" applyAlignment="1">
      <alignment horizontal="center"/>
    </xf>
    <xf numFmtId="0" fontId="35" fillId="10" borderId="0" xfId="0" applyFont="1" applyFill="1" applyAlignment="1">
      <alignment horizontal="center"/>
    </xf>
    <xf numFmtId="0" fontId="35" fillId="10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7" fillId="0" borderId="2" xfId="0" applyFont="1" applyBorder="1" applyAlignment="1">
      <alignment horizontal="left"/>
    </xf>
    <xf numFmtId="0" fontId="38" fillId="0" borderId="2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1" fillId="0" borderId="2" xfId="0" applyFont="1" applyBorder="1" applyAlignment="1"/>
    <xf numFmtId="0" fontId="9" fillId="0" borderId="2" xfId="0" applyFont="1" applyBorder="1" applyAlignment="1"/>
    <xf numFmtId="0" fontId="42" fillId="0" borderId="2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33" fillId="6" borderId="0" xfId="0" applyFont="1" applyFill="1" applyAlignment="1">
      <alignment horizontal="left"/>
    </xf>
    <xf numFmtId="0" fontId="43" fillId="0" borderId="0" xfId="0" applyFont="1" applyAlignment="1"/>
    <xf numFmtId="0" fontId="9" fillId="11" borderId="0" xfId="0" applyFont="1" applyFill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/>
    </xf>
    <xf numFmtId="0" fontId="9" fillId="11" borderId="0" xfId="0" applyFont="1" applyFill="1"/>
    <xf numFmtId="0" fontId="44" fillId="0" borderId="0" xfId="0" applyFont="1" applyAlignment="1"/>
    <xf numFmtId="0" fontId="45" fillId="0" borderId="0" xfId="0" applyFont="1" applyAlignment="1"/>
    <xf numFmtId="0" fontId="1" fillId="11" borderId="0" xfId="0" applyFont="1" applyFill="1" applyAlignment="1"/>
    <xf numFmtId="0" fontId="9" fillId="0" borderId="0" xfId="0" applyFont="1" applyAlignment="1">
      <alignment horizontal="left" vertical="center"/>
    </xf>
    <xf numFmtId="0" fontId="46" fillId="0" borderId="0" xfId="0" applyFont="1" applyAlignment="1"/>
    <xf numFmtId="0" fontId="52" fillId="4" borderId="0" xfId="1" applyFill="1" applyAlignment="1"/>
    <xf numFmtId="0" fontId="53" fillId="0" borderId="0" xfId="0" applyFont="1" applyAlignment="1"/>
    <xf numFmtId="0" fontId="54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6" fillId="4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5" fillId="0" borderId="0" xfId="0" applyFont="1" applyAlignment="1"/>
  </cellXfs>
  <cellStyles count="2">
    <cellStyle name="Hiperlink" xfId="1" builtinId="8"/>
    <cellStyle name="Normal" xfId="0" builtinId="0"/>
  </cellStyles>
  <dxfs count="1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Mapeamento para Departamentos-style" pivot="0" count="4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Mapeamento_de_Disciplinas_para_Departamentos" displayName="Mapeamento_de_Disciplinas_para_Departamentos" ref="A1:F71">
  <autoFilter ref="A1:F71"/>
  <tableColumns count="6">
    <tableColumn id="1" name="etapa"/>
    <tableColumn id="2" name="carater"/>
    <tableColumn id="3" name="denominacao_final"/>
    <tableColumn id="4" name="codigo_interno"/>
    <tableColumn id="5" name="departamento"/>
    <tableColumn id="6" name="Status Plano"/>
  </tableColumns>
  <tableStyleInfo name="Mapeamento para Departam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0qCvMHbIiF3eIVBmQ67aH_FSJBbiqdpRXeEaNsNh3Fo/edit" TargetMode="External"/><Relationship Id="rId21" Type="http://schemas.openxmlformats.org/officeDocument/2006/relationships/hyperlink" Target="https://docs.google.com/document/d/13Y0idXY_LeAoySWiHtKg8GhXuJYlBNDQ4qWbQ8ENYEU/edit?usp=sharing" TargetMode="External"/><Relationship Id="rId42" Type="http://schemas.openxmlformats.org/officeDocument/2006/relationships/hyperlink" Target="https://trello.com/c/6VQIZqGY/31-projeto-em-ci%C3%AAncia-e-inova%C3%A7%C3%A3o" TargetMode="External"/><Relationship Id="rId47" Type="http://schemas.openxmlformats.org/officeDocument/2006/relationships/hyperlink" Target="https://docs.google.com/document/d/1MX-5i23YC4dQZJAQ1ApovqXrgret5g6C6O8no1bBny0/edit?usp=sharing" TargetMode="External"/><Relationship Id="rId63" Type="http://schemas.openxmlformats.org/officeDocument/2006/relationships/hyperlink" Target="https://docs.google.com/document/d/1NDDUsBzc-d5X9ENrX650bZ6I0fputh3h/edit?usp=sharing" TargetMode="External"/><Relationship Id="rId68" Type="http://schemas.openxmlformats.org/officeDocument/2006/relationships/hyperlink" Target="https://trello.com/c/PSZl3s5y/29-computa%C3%A7%C3%A3o-cient%C3%ADfica-antiga-calculo-numerico" TargetMode="External"/><Relationship Id="rId84" Type="http://schemas.openxmlformats.org/officeDocument/2006/relationships/hyperlink" Target="https://trello.com/c/iujy7pQZ/50-computa%C3%A7%C3%A3o-gr%C3%A1fica-avan%C3%A7ada-ppgc" TargetMode="External"/><Relationship Id="rId89" Type="http://schemas.openxmlformats.org/officeDocument/2006/relationships/hyperlink" Target="https://docs.google.com/document/d/1sXjPBw18RJ2rJVqV0R6er6xJC938ZQmOmrs5soq0muE/edit" TargetMode="External"/><Relationship Id="rId16" Type="http://schemas.openxmlformats.org/officeDocument/2006/relationships/hyperlink" Target="https://trello.com/c/Tkx6bzOR/18-c%C3%A1lculo-2" TargetMode="External"/><Relationship Id="rId107" Type="http://schemas.openxmlformats.org/officeDocument/2006/relationships/hyperlink" Target="https://docs.google.com/document/d/1D699NRYJrV2rXSHKPWGi4UkdgV_EotvW/edit?usp=sharing&amp;ouid=114145578023086523491&amp;rtpof=true&amp;sd=true" TargetMode="External"/><Relationship Id="rId11" Type="http://schemas.openxmlformats.org/officeDocument/2006/relationships/hyperlink" Target="https://docs.google.com/document/d/1oLumnMkzmpi9KvbAE2pGiR0Nx5BJqBNjPd62RFckjSY/edit?usp=sharing" TargetMode="External"/><Relationship Id="rId32" Type="http://schemas.openxmlformats.org/officeDocument/2006/relationships/hyperlink" Target="https://trello.com/c/qJlWw0gi/23-%C3%A1lgebra-linear" TargetMode="External"/><Relationship Id="rId37" Type="http://schemas.openxmlformats.org/officeDocument/2006/relationships/hyperlink" Target="https://trello.com/c/mtFCipp0/27-sistemas-operacionais" TargetMode="External"/><Relationship Id="rId53" Type="http://schemas.openxmlformats.org/officeDocument/2006/relationships/hyperlink" Target="https://docs.google.com/document/d/1tJUO3XEliBjyY5Kqx-sW8oS_BF6Hm4sy/edit?usp=sharing&amp;ouid=112680152226499162772&amp;rtpof=true&amp;sd=true" TargetMode="External"/><Relationship Id="rId58" Type="http://schemas.openxmlformats.org/officeDocument/2006/relationships/hyperlink" Target="https://trello.com/c/b4hcJKKa/40-sistemas-distribu%C3%ADdos-incluindo-blockchain-e-tolerantes-a-falhas" TargetMode="External"/><Relationship Id="rId74" Type="http://schemas.openxmlformats.org/officeDocument/2006/relationships/hyperlink" Target="https://trello.com/c/rhWhwN89/57-laborat%C3%B3rio-de-internet" TargetMode="External"/><Relationship Id="rId79" Type="http://schemas.openxmlformats.org/officeDocument/2006/relationships/hyperlink" Target="https://trello.com/c/XZoTYW75/61-seguran%C3%A7a-de-redes-ppgc" TargetMode="External"/><Relationship Id="rId102" Type="http://schemas.openxmlformats.org/officeDocument/2006/relationships/hyperlink" Target="https://trello.com/c/7IB3Iho6" TargetMode="External"/><Relationship Id="rId5" Type="http://schemas.openxmlformats.org/officeDocument/2006/relationships/hyperlink" Target="https://trello.com/c/1LCOOgca/14-introdu%C3%A7%C3%A3o-%C3%A0-ci%C3%AAncia-da-computa%C3%A7%C3%A3o" TargetMode="External"/><Relationship Id="rId90" Type="http://schemas.openxmlformats.org/officeDocument/2006/relationships/hyperlink" Target="https://docs.google.com/document/d/1bRP7L077W5JvJCgJAVHHpm7Qmarmgz_uZKmOy4BRKhc/edit" TargetMode="External"/><Relationship Id="rId95" Type="http://schemas.openxmlformats.org/officeDocument/2006/relationships/hyperlink" Target="https://trello.com/c/FARaU1Be/67-tend%C3%AAncias-em-linguagens-de-programa%C3%A7%C3%A3o" TargetMode="External"/><Relationship Id="rId22" Type="http://schemas.openxmlformats.org/officeDocument/2006/relationships/hyperlink" Target="https://trello.com/c/4uVPQA2b/22-projeto-de-algoritmos-1" TargetMode="External"/><Relationship Id="rId27" Type="http://schemas.openxmlformats.org/officeDocument/2006/relationships/hyperlink" Target="https://trello.com/c/YqFJMFYg/25-teoria-da-computa%C3%A7%C3%A3o-2" TargetMode="External"/><Relationship Id="rId43" Type="http://schemas.openxmlformats.org/officeDocument/2006/relationships/hyperlink" Target="https://docs.google.com/document/d/1AQVNQ_rLOM4mQmEvx82grL1tV_iYipes-9vqJDxg-ms/edit" TargetMode="External"/><Relationship Id="rId48" Type="http://schemas.openxmlformats.org/officeDocument/2006/relationships/hyperlink" Target="https://trello.com/c/XHS5mafm/43-aprendizado-de-m%C3%A1quina" TargetMode="External"/><Relationship Id="rId64" Type="http://schemas.openxmlformats.org/officeDocument/2006/relationships/hyperlink" Target="https://trello.com/c/L5BKcOYB/42-linguagens-de-programa%C3%A7%C3%A3o-2-compiladores" TargetMode="External"/><Relationship Id="rId69" Type="http://schemas.openxmlformats.org/officeDocument/2006/relationships/hyperlink" Target="https://trello.com/c/M8VTGcgJ/51-deep-learning" TargetMode="External"/><Relationship Id="rId80" Type="http://schemas.openxmlformats.org/officeDocument/2006/relationships/hyperlink" Target="https://trello.com/c/ubICnJMn/48-games" TargetMode="External"/><Relationship Id="rId85" Type="http://schemas.openxmlformats.org/officeDocument/2006/relationships/hyperlink" Target="https://trello.com/c/7NeWVr7B/8-realidade-virtual-e-visualiza%C3%A7%C3%A3o-de-dados-imersiva-ppgc" TargetMode="External"/><Relationship Id="rId12" Type="http://schemas.openxmlformats.org/officeDocument/2006/relationships/hyperlink" Target="https://trello.com/c/MSpVSdDH/3-arquitetura-de-computadores" TargetMode="External"/><Relationship Id="rId17" Type="http://schemas.openxmlformats.org/officeDocument/2006/relationships/hyperlink" Target="https://docs.google.com/document/d/1bx2i7N1ok6X9x84cK3Rhxl6oMf2tUyL4LaNP2Ch4pRc/edit?usp=sharing" TargetMode="External"/><Relationship Id="rId33" Type="http://schemas.openxmlformats.org/officeDocument/2006/relationships/hyperlink" Target="https://docs.google.com/document/d/1ELw0Q58Ozw7RK2YQz1i_RlSUisXTBNbTtd7gJEd3Nq8/edit?usp=sharing" TargetMode="External"/><Relationship Id="rId38" Type="http://schemas.openxmlformats.org/officeDocument/2006/relationships/hyperlink" Target="https://docs.google.com/document/d/1FjMIWvFKDNF-kyv-y3BETPnDbx8Le3-qO6m9mRCQMkA/edit?usp=sharing" TargetMode="External"/><Relationship Id="rId59" Type="http://schemas.openxmlformats.org/officeDocument/2006/relationships/hyperlink" Target="https://docs.google.com/document/d/1-5zOUTOMaW8nveE1n9lUoWNfnbLZxSZRRiqpRUs5MFA/edit?usp=sharing" TargetMode="External"/><Relationship Id="rId103" Type="http://schemas.openxmlformats.org/officeDocument/2006/relationships/hyperlink" Target="https://trello.com/c/QE9Vchhb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trello.com/c/Gw39Zzfm/15-circuitos-digitais" TargetMode="External"/><Relationship Id="rId41" Type="http://schemas.openxmlformats.org/officeDocument/2006/relationships/hyperlink" Target="https://docs.google.com/document/d/107H44vfmn_WTKGVZDSjiT9S3J7D5JJ3NjXondeIj_iY/edit" TargetMode="External"/><Relationship Id="rId54" Type="http://schemas.openxmlformats.org/officeDocument/2006/relationships/hyperlink" Target="https://trello.com/c/3Qwq0Kxi/37-linguagens-de-programa%C3%A7%C3%A3o-1-sem%C3%A2ntica" TargetMode="External"/><Relationship Id="rId62" Type="http://schemas.openxmlformats.org/officeDocument/2006/relationships/hyperlink" Target="https://trello.com/c/aZUkOnvs/73-processamento-de-linguagem-natural" TargetMode="External"/><Relationship Id="rId70" Type="http://schemas.openxmlformats.org/officeDocument/2006/relationships/hyperlink" Target="https://docs.google.com/document/d/1Lw3W3gPd5cp04yZHi3g3pGUq2vSODbjo-c65tgv1oKk/edit?usp=sharing" TargetMode="External"/><Relationship Id="rId75" Type="http://schemas.openxmlformats.org/officeDocument/2006/relationships/hyperlink" Target="https://trello.com/c/LZgVLhkK/59-comunica%C3%A7%C3%A3o-de-dados-e-tecnologias-de-redes-emergentes" TargetMode="External"/><Relationship Id="rId83" Type="http://schemas.openxmlformats.org/officeDocument/2006/relationships/hyperlink" Target="https://trello.com/c/z6MFB1SN/52-fotografia-computacional-ppgc" TargetMode="External"/><Relationship Id="rId88" Type="http://schemas.openxmlformats.org/officeDocument/2006/relationships/hyperlink" Target="https://trello.com/c/3bcheyxU/72-ci%C3%AAncia-de-dados" TargetMode="External"/><Relationship Id="rId91" Type="http://schemas.openxmlformats.org/officeDocument/2006/relationships/hyperlink" Target="https://trello.com/c/O5zrjQM5/63-modelagem-e-gerenciamento-de-processos-de-neg%C3%B3cio" TargetMode="External"/><Relationship Id="rId96" Type="http://schemas.openxmlformats.org/officeDocument/2006/relationships/hyperlink" Target="https://trello.com/c/FUJKuXgj/68-m%C3%A9todos-%C3%A1geis" TargetMode="External"/><Relationship Id="rId1" Type="http://schemas.openxmlformats.org/officeDocument/2006/relationships/hyperlink" Target="https://docs.google.com/document/d/1tZnWmY3rET3ckDKm-NU6RfC-7ZzKBbzIaAqS97gBZP8/edit" TargetMode="External"/><Relationship Id="rId6" Type="http://schemas.openxmlformats.org/officeDocument/2006/relationships/hyperlink" Target="https://trello.com/c/dkJHYOCY/4-c%C3%A1lculo-1" TargetMode="External"/><Relationship Id="rId15" Type="http://schemas.openxmlformats.org/officeDocument/2006/relationships/hyperlink" Target="https://trello.com/c/QrTttUkn/16-probabilidade-e-estat%C3%ADstica" TargetMode="External"/><Relationship Id="rId23" Type="http://schemas.openxmlformats.org/officeDocument/2006/relationships/hyperlink" Target="https://trello.com/c/CdNEMnnM/30-t%C3%A9cnicas-de-constru%C3%A7%C3%A3o-de-programas" TargetMode="External"/><Relationship Id="rId28" Type="http://schemas.openxmlformats.org/officeDocument/2006/relationships/hyperlink" Target="https://docs.google.com/document/d/1CFPWRhn1q3sRiluT08p_VE7ywRDYwLd-MoxJPYxPO9U/edit?usp=sharing" TargetMode="External"/><Relationship Id="rId36" Type="http://schemas.openxmlformats.org/officeDocument/2006/relationships/hyperlink" Target="https://docs.google.com/document/d/1wAjqcJXyQiNMe3pS6iUokrFsELGYFdoaPsHilKU7TKU/edit?tab=t.0" TargetMode="External"/><Relationship Id="rId49" Type="http://schemas.openxmlformats.org/officeDocument/2006/relationships/hyperlink" Target="https://docs.google.com/document/d/1YNxNGUU48SZfR6BGx0a7IGPeQ0-GZpdCPzwjnrqg41U/edit?usp=sharing" TargetMode="External"/><Relationship Id="rId57" Type="http://schemas.openxmlformats.org/officeDocument/2006/relationships/hyperlink" Target="https://docs.google.com/document/d/1Q_f9KGGDCNlzRe-P6RmWgOhmlOZjPY31ch__Yw5hHRk/edit?usp=sharing" TargetMode="External"/><Relationship Id="rId106" Type="http://schemas.openxmlformats.org/officeDocument/2006/relationships/hyperlink" Target="https://docs.google.com/document/d/1SxXec3nIBLfRpipJ-jC_HFStfCGGG9Z7sl8YDvIv3pI/edit?usp=sharing" TargetMode="External"/><Relationship Id="rId10" Type="http://schemas.openxmlformats.org/officeDocument/2006/relationships/hyperlink" Target="https://trello.com/c/XtplbcAD/5-matem%C3%A1tica-discreta" TargetMode="External"/><Relationship Id="rId31" Type="http://schemas.openxmlformats.org/officeDocument/2006/relationships/hyperlink" Target="https://trello.com/c/LCyJaThJ/21-organiza%C3%A7%C3%A3o-de-computadores" TargetMode="External"/><Relationship Id="rId44" Type="http://schemas.openxmlformats.org/officeDocument/2006/relationships/hyperlink" Target="https://trello.com/c/P4ge5gWB/41-computa%C3%A7%C3%A3o-gr%C3%A1fica-e-visualiza%C3%A7%C3%A3o" TargetMode="External"/><Relationship Id="rId52" Type="http://schemas.openxmlformats.org/officeDocument/2006/relationships/hyperlink" Target="https://trello.com/c/1AJyfJEk/28-programa%C3%A7%C3%A3o-paralela" TargetMode="External"/><Relationship Id="rId60" Type="http://schemas.openxmlformats.org/officeDocument/2006/relationships/hyperlink" Target="https://trello.com/c/C0hZm6w4/35-projeto-de-algoritmos-3-otimiza%C3%A7%C3%A3o" TargetMode="External"/><Relationship Id="rId65" Type="http://schemas.openxmlformats.org/officeDocument/2006/relationships/hyperlink" Target="https://docs.google.com/document/d/13TYFoXSJlZX4qs54Rze1NwEWsVKYWYepJmNGf3w-490/edit?usp=sharing" TargetMode="External"/><Relationship Id="rId73" Type="http://schemas.openxmlformats.org/officeDocument/2006/relationships/hyperlink" Target="https://trello.com/c/y27XHHA0/56-engenharia-de-dados-para-ci%C3%AAncia-de-dados" TargetMode="External"/><Relationship Id="rId78" Type="http://schemas.openxmlformats.org/officeDocument/2006/relationships/hyperlink" Target="https://trello.com/c/7fyh8SKT/60-redes-program%C3%A1veis-e-inteligentes-ppgc" TargetMode="External"/><Relationship Id="rId81" Type="http://schemas.openxmlformats.org/officeDocument/2006/relationships/hyperlink" Target="https://trello.com/c/0OginIPU/49-vis%C3%A3o-computacional-avan%C3%A7ada-ppgc" TargetMode="External"/><Relationship Id="rId86" Type="http://schemas.openxmlformats.org/officeDocument/2006/relationships/hyperlink" Target="https://trello.com/c/Jfve9Nzp" TargetMode="External"/><Relationship Id="rId94" Type="http://schemas.openxmlformats.org/officeDocument/2006/relationships/hyperlink" Target="https://trello.com/c/HyX5gPHq/65-desenvolvimento-web" TargetMode="External"/><Relationship Id="rId99" Type="http://schemas.openxmlformats.org/officeDocument/2006/relationships/hyperlink" Target="https://trello.com/c/OR9OljXv/69-nosql" TargetMode="External"/><Relationship Id="rId101" Type="http://schemas.openxmlformats.org/officeDocument/2006/relationships/hyperlink" Target="https://docs.google.com/document/d/1A8WszoEEUzTfqW4YdSbYK6GHFtLAonRAvARDSuTbeD4/edit?usp=sharing" TargetMode="External"/><Relationship Id="rId4" Type="http://schemas.openxmlformats.org/officeDocument/2006/relationships/hyperlink" Target="https://trello.com/c/Ju4e3Y6T/2-algoritmos-e-programa%C3%A7%C3%A3o" TargetMode="External"/><Relationship Id="rId9" Type="http://schemas.openxmlformats.org/officeDocument/2006/relationships/hyperlink" Target="https://www.google.com/" TargetMode="External"/><Relationship Id="rId13" Type="http://schemas.openxmlformats.org/officeDocument/2006/relationships/hyperlink" Target="https://docs.google.com/document/d/19ryEO_r1lEMTYMs2VrRQUnSNSqMynpcklY02asf-TGE/edit?usp=sharing" TargetMode="External"/><Relationship Id="rId18" Type="http://schemas.openxmlformats.org/officeDocument/2006/relationships/hyperlink" Target="https://trello.com/c/6JMWz7m8/20-teoria-da-computa%C3%A7%C3%A3o-1" TargetMode="External"/><Relationship Id="rId39" Type="http://schemas.openxmlformats.org/officeDocument/2006/relationships/hyperlink" Target="https://trello.com/c/tq1jNLuU/32-intelig%C3%AAncia-artificial" TargetMode="External"/><Relationship Id="rId34" Type="http://schemas.openxmlformats.org/officeDocument/2006/relationships/hyperlink" Target="https://trello.com/c/Na8HxAQP/33-engenharia-de-software" TargetMode="External"/><Relationship Id="rId50" Type="http://schemas.openxmlformats.org/officeDocument/2006/relationships/hyperlink" Target="https://trello.com/c/LQoZXaaX/36-processamento-de-imagens-e-vis%C3%A3o-computacional" TargetMode="External"/><Relationship Id="rId55" Type="http://schemas.openxmlformats.org/officeDocument/2006/relationships/hyperlink" Target="https://docs.google.com/document/d/1JxiC_c0AZFSaq30w08Urtmwlrz-WO_3OSntIMGOk_Ow/edit?usp=sharing" TargetMode="External"/><Relationship Id="rId76" Type="http://schemas.openxmlformats.org/officeDocument/2006/relationships/hyperlink" Target="https://trello.com/c/4AIs1WQo/44-empreendedorismo" TargetMode="External"/><Relationship Id="rId97" Type="http://schemas.openxmlformats.org/officeDocument/2006/relationships/hyperlink" Target="https://trello.com/c/vfa0BWZM/71-recupera%C3%A7%C3%A3o-de-informa%C3%A7%C3%A3o" TargetMode="External"/><Relationship Id="rId104" Type="http://schemas.openxmlformats.org/officeDocument/2006/relationships/hyperlink" Target="https://docs.google.com/document/d/1z5tR8qq82BMvQKTcEddnbL8sXc3l7-EU/edit?usp=drive_link&amp;ouid=108303391763825017595&amp;rtpof=true&amp;sd=true" TargetMode="External"/><Relationship Id="rId7" Type="http://schemas.openxmlformats.org/officeDocument/2006/relationships/hyperlink" Target="https://docs.google.com/document/d/1h7jFU2jKkFQ5_5S5fihjMzw6zjKKSuAk255YAJUJQTU/edit" TargetMode="External"/><Relationship Id="rId71" Type="http://schemas.openxmlformats.org/officeDocument/2006/relationships/hyperlink" Target="https://trello.com/c/cHH1SFYP/47-rob%C3%B3tica" TargetMode="External"/><Relationship Id="rId92" Type="http://schemas.openxmlformats.org/officeDocument/2006/relationships/hyperlink" Target="https://trello.com/c/c1Z61qH7/64-especifica%C3%A7%C3%A3o-e-verifica%C3%A7%C3%A3o-de-software" TargetMode="External"/><Relationship Id="rId2" Type="http://schemas.openxmlformats.org/officeDocument/2006/relationships/hyperlink" Target="https://trello.com/c/aqMnXlPb/1-pensamento-computacional" TargetMode="External"/><Relationship Id="rId29" Type="http://schemas.openxmlformats.org/officeDocument/2006/relationships/hyperlink" Target="https://trello.com/c/BhM4YfAw/26-projeto-de-algoritmos-2" TargetMode="External"/><Relationship Id="rId24" Type="http://schemas.openxmlformats.org/officeDocument/2006/relationships/hyperlink" Target="https://docs.google.com/document/d/1hRO5n3vKF7TrBxCbpLledJCrC5I7TFPEk0DnW6-CEUc/edit" TargetMode="External"/><Relationship Id="rId40" Type="http://schemas.openxmlformats.org/officeDocument/2006/relationships/hyperlink" Target="https://trello.com/c/PSZl3s5y/29-computa%C3%A7%C3%A3o-cient%C3%ADfica-antiga-calculo-numerico" TargetMode="External"/><Relationship Id="rId45" Type="http://schemas.openxmlformats.org/officeDocument/2006/relationships/hyperlink" Target="https://docs.google.com/document/d/1_Usw86M0EkW09Bnemtz5kET2upaPbKt8nZn0Smwdhjc/edit?usp=sharing" TargetMode="External"/><Relationship Id="rId66" Type="http://schemas.openxmlformats.org/officeDocument/2006/relationships/hyperlink" Target="https://trello.com/c/sXcxUY3W/45-projeto-integrador" TargetMode="External"/><Relationship Id="rId87" Type="http://schemas.openxmlformats.org/officeDocument/2006/relationships/hyperlink" Target="https://docs.google.com/document/d/12TEaNrp-qtGswe7I92s1m01nDKbnbxhgxwFnyBekzzU/edit?tab=t.0" TargetMode="External"/><Relationship Id="rId61" Type="http://schemas.openxmlformats.org/officeDocument/2006/relationships/hyperlink" Target="https://docs.google.com/document/d/1SYDgAvScJ-ndwnxK9uDZzcshkqMlvOHmqFvmcVxTX7k/edit?usp=sharing" TargetMode="External"/><Relationship Id="rId82" Type="http://schemas.openxmlformats.org/officeDocument/2006/relationships/hyperlink" Target="https://trello.com/c/5UpKel6Y/53-deep-learning-para-computa%C3%A7%C3%A3o-visual-ppgc" TargetMode="External"/><Relationship Id="rId19" Type="http://schemas.openxmlformats.org/officeDocument/2006/relationships/hyperlink" Target="https://docs.google.com/document/d/1kDrM-APTQ3GgdaF6N8ngtjYbxGzN5QtsICp1aN2nzcw/edit" TargetMode="External"/><Relationship Id="rId14" Type="http://schemas.openxmlformats.org/officeDocument/2006/relationships/hyperlink" Target="https://trello.com/c/vNWZgvVi/19-estruturas-de-dados" TargetMode="External"/><Relationship Id="rId30" Type="http://schemas.openxmlformats.org/officeDocument/2006/relationships/hyperlink" Target="https://docs.google.com/document/d/1HFK3RYQtnn49GOxm4suhS8lMEOBCaxoL3aPS5CGzuOw/edit?usp=sharing" TargetMode="External"/><Relationship Id="rId35" Type="http://schemas.openxmlformats.org/officeDocument/2006/relationships/hyperlink" Target="https://trello.com/c/lICKjBIs/38-intera%C3%A7%C3%A3o-humano-computador-e-ux" TargetMode="External"/><Relationship Id="rId56" Type="http://schemas.openxmlformats.org/officeDocument/2006/relationships/hyperlink" Target="https://trello.com/c/WRfERIUF/39-seguran%C3%A7a-de-sistemas-e-da-informa%C3%A7%C3%A3o" TargetMode="External"/><Relationship Id="rId77" Type="http://schemas.openxmlformats.org/officeDocument/2006/relationships/hyperlink" Target="https://trello.com/c/pHdB2Ryx/58-servi%C3%A7os-avan%C3%A7ados-em-redes-ppgc" TargetMode="External"/><Relationship Id="rId100" Type="http://schemas.openxmlformats.org/officeDocument/2006/relationships/hyperlink" Target="https://trello.com/c/Pz2bOS98/62-gest%C3%A3o-de-produtos-de-software" TargetMode="External"/><Relationship Id="rId105" Type="http://schemas.openxmlformats.org/officeDocument/2006/relationships/hyperlink" Target="https://docs.google.com/document/d/1bRP7L077W5JvJCgJAVHHpm7Qmarmgz_uZKmOy4BRKhc/edit" TargetMode="External"/><Relationship Id="rId8" Type="http://schemas.openxmlformats.org/officeDocument/2006/relationships/hyperlink" Target="https://trello.com/c/btdllaLm/17-l%C3%B3gica-e-corre%C3%A7%C3%A3o-de-programas" TargetMode="External"/><Relationship Id="rId51" Type="http://schemas.openxmlformats.org/officeDocument/2006/relationships/hyperlink" Target="https://docs.google.com/document/d/1eKFczr0_lQWiLfNzZlR-iE8jh9Enx8HtWvAk8E-yicg/edit?usp=sharing" TargetMode="External"/><Relationship Id="rId72" Type="http://schemas.openxmlformats.org/officeDocument/2006/relationships/hyperlink" Target="https://trello.com/c/TDvGAGSo/55-banco-de-dados-avan%C3%A7ados" TargetMode="External"/><Relationship Id="rId93" Type="http://schemas.openxmlformats.org/officeDocument/2006/relationships/hyperlink" Target="https://trello.com/c/33UiH9Cg/66-desenvolvimento-mobile" TargetMode="External"/><Relationship Id="rId98" Type="http://schemas.openxmlformats.org/officeDocument/2006/relationships/hyperlink" Target="https://trello.com/c/hV8huQEe/70-arquitetura-de-banco-de-dados" TargetMode="External"/><Relationship Id="rId3" Type="http://schemas.openxmlformats.org/officeDocument/2006/relationships/hyperlink" Target="https://docs.google.com/document/d/1CnyH6FlXTQeMXqPpcw8ZjWIwYipmGop73vA_oNeu5lo/edit?usp=sharing" TargetMode="External"/><Relationship Id="rId25" Type="http://schemas.openxmlformats.org/officeDocument/2006/relationships/hyperlink" Target="https://trello.com/c/McjuRWxw/24-banco-de-dados" TargetMode="External"/><Relationship Id="rId46" Type="http://schemas.openxmlformats.org/officeDocument/2006/relationships/hyperlink" Target="https://trello.com/c/9SkKZaYh/34-redes-de-computadores" TargetMode="External"/><Relationship Id="rId67" Type="http://schemas.openxmlformats.org/officeDocument/2006/relationships/hyperlink" Target="https://docs.google.com/document/d/1S5YFMSJnqkniqfCg0nkEw-QJBXU2yjFz99QtxyFvHjc/edit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rello.com/c/4uVPQA2b/22-projeto-de-algoritmos-1" TargetMode="External"/><Relationship Id="rId3" Type="http://schemas.openxmlformats.org/officeDocument/2006/relationships/hyperlink" Target="https://trello.com/c/Tkx6bzOR/18-c%C3%A1lculo-2" TargetMode="External"/><Relationship Id="rId7" Type="http://schemas.openxmlformats.org/officeDocument/2006/relationships/hyperlink" Target="https://trello.com/c/PSZl3s5y/29-computa%C3%A7%C3%A3o-cient%C3%ADfica-antiga-calculo-numerico" TargetMode="External"/><Relationship Id="rId2" Type="http://schemas.openxmlformats.org/officeDocument/2006/relationships/hyperlink" Target="https://trello.com/c/XtplbcAD/5-matem%C3%A1tica-discreta" TargetMode="External"/><Relationship Id="rId1" Type="http://schemas.openxmlformats.org/officeDocument/2006/relationships/hyperlink" Target="https://trello.com/c/dkJHYOCY/4-c%C3%A1lculo-1" TargetMode="External"/><Relationship Id="rId6" Type="http://schemas.openxmlformats.org/officeDocument/2006/relationships/hyperlink" Target="https://trello.com/c/QrTttUkn/16-probabilidade-e-estat%C3%ADstica" TargetMode="External"/><Relationship Id="rId11" Type="http://schemas.openxmlformats.org/officeDocument/2006/relationships/hyperlink" Target="https://trello.com/c/YqFJMFYg/25-teoria-da-computa%C3%A7%C3%A3o-2" TargetMode="External"/><Relationship Id="rId5" Type="http://schemas.openxmlformats.org/officeDocument/2006/relationships/hyperlink" Target="https://trello.com/c/btdllaLm/17-l%C3%B3gica-e-corre%C3%A7%C3%A3o-de-programas" TargetMode="External"/><Relationship Id="rId10" Type="http://schemas.openxmlformats.org/officeDocument/2006/relationships/hyperlink" Target="https://trello.com/c/6JMWz7m8/20-teoria-da-computa%C3%A7%C3%A3o-1" TargetMode="External"/><Relationship Id="rId4" Type="http://schemas.openxmlformats.org/officeDocument/2006/relationships/hyperlink" Target="https://trello.com/c/qJlWw0gi/23-%C3%A1lgebra-linear" TargetMode="External"/><Relationship Id="rId9" Type="http://schemas.openxmlformats.org/officeDocument/2006/relationships/hyperlink" Target="https://trello.com/c/BhM4YfAw/26-projeto-de-algoritmos-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41"/>
  <sheetViews>
    <sheetView tabSelected="1" topLeftCell="F1" workbookViewId="0">
      <pane ySplit="4" topLeftCell="A5" activePane="bottomLeft" state="frozen"/>
      <selection pane="bottomLeft" activeCell="J6" sqref="J6"/>
    </sheetView>
  </sheetViews>
  <sheetFormatPr defaultColWidth="12.5703125" defaultRowHeight="15.75" customHeight="1"/>
  <cols>
    <col min="1" max="1" width="14.7109375" customWidth="1"/>
    <col min="2" max="2" width="5.85546875" customWidth="1"/>
    <col min="3" max="3" width="11.7109375" customWidth="1"/>
    <col min="4" max="4" width="7.42578125" customWidth="1"/>
    <col min="5" max="5" width="35.42578125" customWidth="1"/>
    <col min="6" max="6" width="10.7109375" customWidth="1"/>
    <col min="7" max="7" width="53.42578125" customWidth="1"/>
    <col min="8" max="8" width="6.42578125" customWidth="1"/>
    <col min="9" max="9" width="7.42578125" customWidth="1"/>
    <col min="10" max="10" width="34.28515625" customWidth="1"/>
    <col min="11" max="11" width="15.140625" customWidth="1"/>
    <col min="12" max="12" width="33.28515625" customWidth="1"/>
    <col min="13" max="13" width="77.140625" customWidth="1"/>
    <col min="14" max="14" width="77.140625" hidden="1" customWidth="1"/>
    <col min="16" max="16" width="21.85546875" hidden="1" customWidth="1"/>
  </cols>
  <sheetData>
    <row r="1" spans="1:16" ht="12.75">
      <c r="A1" s="1" t="s">
        <v>2325</v>
      </c>
      <c r="B1" s="1" t="s">
        <v>2326</v>
      </c>
      <c r="C1" s="1" t="s">
        <v>2327</v>
      </c>
      <c r="D1" s="2" t="s">
        <v>2328</v>
      </c>
      <c r="E1" s="1" t="s">
        <v>2329</v>
      </c>
      <c r="F1" s="1" t="s">
        <v>2330</v>
      </c>
      <c r="G1" s="1" t="s">
        <v>2331</v>
      </c>
      <c r="H1" s="1" t="s">
        <v>2332</v>
      </c>
      <c r="I1" s="1" t="s">
        <v>2333</v>
      </c>
      <c r="J1" s="146" t="s">
        <v>2334</v>
      </c>
      <c r="K1" s="141"/>
      <c r="L1" s="141"/>
      <c r="M1" s="141"/>
      <c r="N1" s="141"/>
    </row>
    <row r="2" spans="1:16" ht="12.75">
      <c r="A2" s="1"/>
      <c r="B2" s="1"/>
      <c r="C2" s="1"/>
      <c r="D2" s="2"/>
      <c r="E2" s="4" t="s">
        <v>0</v>
      </c>
      <c r="F2" s="1"/>
      <c r="G2" s="1"/>
      <c r="H2" s="1"/>
      <c r="I2" s="1"/>
      <c r="J2" s="3"/>
      <c r="K2" s="5"/>
      <c r="L2" s="5"/>
      <c r="M2" s="6"/>
      <c r="N2" s="6"/>
      <c r="P2" s="5"/>
    </row>
    <row r="3" spans="1:16" ht="12.75">
      <c r="A3" s="140" t="s">
        <v>1</v>
      </c>
      <c r="B3" s="7"/>
      <c r="C3" s="142" t="s">
        <v>2</v>
      </c>
      <c r="D3" s="143" t="s">
        <v>3</v>
      </c>
      <c r="E3" s="144" t="s">
        <v>4</v>
      </c>
      <c r="F3" s="142" t="s">
        <v>5</v>
      </c>
      <c r="G3" s="142" t="s">
        <v>6</v>
      </c>
      <c r="H3" s="151" t="s">
        <v>7</v>
      </c>
      <c r="I3" s="141"/>
      <c r="J3" s="145" t="s">
        <v>8</v>
      </c>
      <c r="K3" s="145" t="s">
        <v>9</v>
      </c>
      <c r="L3" s="150" t="s">
        <v>10</v>
      </c>
      <c r="M3" s="145" t="s">
        <v>11</v>
      </c>
      <c r="N3" s="145" t="s">
        <v>12</v>
      </c>
      <c r="O3" s="145" t="s">
        <v>13</v>
      </c>
      <c r="P3" s="145" t="s">
        <v>14</v>
      </c>
    </row>
    <row r="4" spans="1:16" ht="12.75">
      <c r="A4" s="141"/>
      <c r="B4" s="7"/>
      <c r="C4" s="141"/>
      <c r="D4" s="141"/>
      <c r="E4" s="141"/>
      <c r="F4" s="141"/>
      <c r="G4" s="141"/>
      <c r="H4" s="8" t="s">
        <v>15</v>
      </c>
      <c r="I4" s="8" t="s">
        <v>16</v>
      </c>
      <c r="J4" s="141"/>
      <c r="K4" s="141"/>
      <c r="L4" s="141"/>
      <c r="M4" s="141"/>
      <c r="N4" s="141"/>
      <c r="O4" s="141"/>
      <c r="P4" s="141"/>
    </row>
    <row r="5" spans="1:16" ht="12.75">
      <c r="A5" s="9"/>
      <c r="B5" s="9"/>
      <c r="C5" s="9"/>
      <c r="D5" s="10"/>
      <c r="E5" s="11"/>
      <c r="F5" s="12"/>
      <c r="G5" s="12"/>
      <c r="H5" s="13"/>
      <c r="I5" s="13"/>
      <c r="J5" s="14"/>
      <c r="K5" s="15"/>
      <c r="L5" s="6"/>
      <c r="M5" s="16"/>
      <c r="N5" s="16"/>
      <c r="P5" s="6"/>
    </row>
    <row r="6" spans="1:16" ht="117">
      <c r="A6" s="17"/>
      <c r="B6" s="17"/>
      <c r="C6" s="152" t="s">
        <v>17</v>
      </c>
      <c r="D6" s="141"/>
      <c r="E6" s="141"/>
      <c r="F6" s="141"/>
      <c r="G6" s="141"/>
      <c r="H6" s="13"/>
      <c r="I6" s="13"/>
      <c r="J6" s="156"/>
      <c r="K6" s="15"/>
      <c r="L6" s="18" t="s">
        <v>18</v>
      </c>
      <c r="M6" s="16"/>
      <c r="N6" s="16"/>
      <c r="P6" s="6"/>
    </row>
    <row r="7" spans="1:16" ht="12.75">
      <c r="A7" s="9"/>
      <c r="B7" s="9"/>
      <c r="C7" s="9"/>
      <c r="D7" s="10"/>
      <c r="E7" s="11"/>
      <c r="F7" s="12"/>
      <c r="G7" s="12"/>
      <c r="H7" s="13"/>
      <c r="I7" s="13"/>
      <c r="J7" s="14"/>
      <c r="K7" s="15"/>
      <c r="L7" s="6"/>
      <c r="M7" s="16"/>
      <c r="N7" s="16"/>
      <c r="P7" s="6"/>
    </row>
    <row r="8" spans="1:16" ht="12.75">
      <c r="A8" s="19"/>
      <c r="B8" s="19"/>
      <c r="C8" s="19" t="s">
        <v>19</v>
      </c>
      <c r="D8" s="20">
        <v>1</v>
      </c>
      <c r="E8" s="21" t="s">
        <v>20</v>
      </c>
      <c r="F8" s="22" t="s">
        <v>21</v>
      </c>
      <c r="G8" s="23" t="s">
        <v>22</v>
      </c>
      <c r="H8" s="24">
        <v>60</v>
      </c>
      <c r="I8" s="24"/>
      <c r="J8" s="25" t="s">
        <v>23</v>
      </c>
      <c r="K8" s="26" t="s">
        <v>24</v>
      </c>
      <c r="L8" s="27" t="s">
        <v>25</v>
      </c>
      <c r="M8" s="28" t="s">
        <v>26</v>
      </c>
      <c r="N8" s="28" t="s">
        <v>27</v>
      </c>
      <c r="P8" s="26" t="s">
        <v>25</v>
      </c>
    </row>
    <row r="9" spans="1:16" ht="12.75">
      <c r="A9" s="19"/>
      <c r="B9" s="19"/>
      <c r="C9" s="19" t="s">
        <v>19</v>
      </c>
      <c r="D9" s="20">
        <v>1</v>
      </c>
      <c r="E9" s="21" t="s">
        <v>28</v>
      </c>
      <c r="F9" s="22" t="s">
        <v>29</v>
      </c>
      <c r="G9" s="29" t="s">
        <v>30</v>
      </c>
      <c r="H9" s="30">
        <v>90</v>
      </c>
      <c r="I9" s="24">
        <v>15</v>
      </c>
      <c r="J9" s="31" t="s">
        <v>31</v>
      </c>
      <c r="K9" s="26" t="s">
        <v>32</v>
      </c>
      <c r="L9" s="27" t="s">
        <v>25</v>
      </c>
      <c r="M9" s="28" t="s">
        <v>33</v>
      </c>
      <c r="N9" s="28" t="s">
        <v>34</v>
      </c>
      <c r="O9" s="12" t="s">
        <v>35</v>
      </c>
      <c r="P9" s="26" t="s">
        <v>25</v>
      </c>
    </row>
    <row r="10" spans="1:16" ht="12.75">
      <c r="A10" s="19"/>
      <c r="B10" s="19"/>
      <c r="C10" s="19" t="s">
        <v>19</v>
      </c>
      <c r="D10" s="20">
        <v>1</v>
      </c>
      <c r="E10" s="21" t="s">
        <v>36</v>
      </c>
      <c r="F10" s="22" t="s">
        <v>37</v>
      </c>
      <c r="G10" s="29" t="s">
        <v>38</v>
      </c>
      <c r="H10" s="24">
        <v>60</v>
      </c>
      <c r="I10" s="24"/>
      <c r="J10" s="25" t="s">
        <v>39</v>
      </c>
      <c r="K10" s="32"/>
      <c r="L10" s="27" t="s">
        <v>25</v>
      </c>
      <c r="M10" s="33" t="s">
        <v>40</v>
      </c>
      <c r="N10" s="28" t="s">
        <v>41</v>
      </c>
      <c r="P10" s="26" t="s">
        <v>25</v>
      </c>
    </row>
    <row r="11" spans="1:16" ht="12.75">
      <c r="A11" s="19"/>
      <c r="B11" s="19"/>
      <c r="C11" s="19" t="s">
        <v>19</v>
      </c>
      <c r="D11" s="20">
        <v>1</v>
      </c>
      <c r="E11" s="21" t="s">
        <v>25</v>
      </c>
      <c r="F11" s="22" t="s">
        <v>42</v>
      </c>
      <c r="G11" s="22" t="s">
        <v>43</v>
      </c>
      <c r="H11" s="24">
        <v>90</v>
      </c>
      <c r="I11" s="24"/>
      <c r="J11" s="25" t="s">
        <v>44</v>
      </c>
      <c r="K11" s="32"/>
      <c r="L11" s="27" t="s">
        <v>25</v>
      </c>
      <c r="M11" s="33" t="s">
        <v>25</v>
      </c>
      <c r="N11" s="28" t="s">
        <v>45</v>
      </c>
      <c r="P11" s="26" t="s">
        <v>25</v>
      </c>
    </row>
    <row r="12" spans="1:16" ht="12.75">
      <c r="A12" s="19"/>
      <c r="B12" s="19"/>
      <c r="C12" s="19" t="s">
        <v>19</v>
      </c>
      <c r="D12" s="20">
        <v>1</v>
      </c>
      <c r="E12" s="21" t="s">
        <v>46</v>
      </c>
      <c r="F12" s="22" t="s">
        <v>47</v>
      </c>
      <c r="G12" s="23" t="s">
        <v>48</v>
      </c>
      <c r="H12" s="24">
        <v>60</v>
      </c>
      <c r="I12" s="24"/>
      <c r="J12" s="25" t="s">
        <v>49</v>
      </c>
      <c r="K12" s="32"/>
      <c r="L12" s="27" t="s">
        <v>50</v>
      </c>
      <c r="M12" s="137" t="s">
        <v>51</v>
      </c>
      <c r="N12" s="28" t="s">
        <v>52</v>
      </c>
      <c r="P12" s="26" t="s">
        <v>50</v>
      </c>
    </row>
    <row r="13" spans="1:16" ht="12.75">
      <c r="A13" s="34"/>
      <c r="B13" s="34"/>
      <c r="C13" s="34"/>
      <c r="D13" s="10"/>
      <c r="E13" s="11"/>
      <c r="F13" s="12"/>
      <c r="G13" s="12"/>
      <c r="H13" s="13"/>
      <c r="I13" s="13"/>
      <c r="J13" s="14"/>
      <c r="K13" s="15"/>
      <c r="L13" s="35"/>
      <c r="M13" s="6"/>
      <c r="N13" s="16"/>
      <c r="P13" s="6"/>
    </row>
    <row r="14" spans="1:16" ht="12.75">
      <c r="A14" s="19"/>
      <c r="B14" s="19"/>
      <c r="C14" s="19" t="s">
        <v>19</v>
      </c>
      <c r="D14" s="20">
        <v>2</v>
      </c>
      <c r="E14" s="21" t="s">
        <v>53</v>
      </c>
      <c r="F14" s="22" t="s">
        <v>54</v>
      </c>
      <c r="G14" s="23" t="s">
        <v>55</v>
      </c>
      <c r="H14" s="24">
        <v>30</v>
      </c>
      <c r="I14" s="24"/>
      <c r="J14" s="25"/>
      <c r="K14" s="26"/>
      <c r="L14" s="27"/>
      <c r="M14" s="33"/>
      <c r="N14" s="33"/>
      <c r="P14" s="26"/>
    </row>
    <row r="15" spans="1:16" ht="12.75">
      <c r="A15" s="19"/>
      <c r="B15" s="19"/>
      <c r="C15" s="19" t="s">
        <v>19</v>
      </c>
      <c r="D15" s="20">
        <v>2</v>
      </c>
      <c r="E15" s="21" t="s">
        <v>56</v>
      </c>
      <c r="F15" s="22" t="s">
        <v>50</v>
      </c>
      <c r="G15" s="22" t="s">
        <v>57</v>
      </c>
      <c r="H15" s="24">
        <v>60</v>
      </c>
      <c r="I15" s="24">
        <v>0</v>
      </c>
      <c r="J15" s="25" t="s">
        <v>58</v>
      </c>
      <c r="K15" s="26" t="s">
        <v>59</v>
      </c>
      <c r="L15" s="27" t="s">
        <v>25</v>
      </c>
      <c r="M15" s="28" t="s">
        <v>60</v>
      </c>
      <c r="N15" s="28" t="s">
        <v>61</v>
      </c>
      <c r="P15" s="26" t="s">
        <v>25</v>
      </c>
    </row>
    <row r="16" spans="1:16" ht="12.75">
      <c r="A16" s="19"/>
      <c r="B16" s="19"/>
      <c r="C16" s="19" t="s">
        <v>19</v>
      </c>
      <c r="D16" s="20">
        <v>2</v>
      </c>
      <c r="E16" s="21" t="s">
        <v>62</v>
      </c>
      <c r="F16" s="22" t="s">
        <v>63</v>
      </c>
      <c r="G16" s="29" t="s">
        <v>64</v>
      </c>
      <c r="H16" s="24">
        <v>60</v>
      </c>
      <c r="I16" s="24">
        <v>10</v>
      </c>
      <c r="J16" s="25" t="s">
        <v>65</v>
      </c>
      <c r="K16" s="26" t="s">
        <v>66</v>
      </c>
      <c r="L16" s="36" t="s">
        <v>67</v>
      </c>
      <c r="M16" s="28" t="s">
        <v>68</v>
      </c>
      <c r="N16" s="28" t="s">
        <v>69</v>
      </c>
      <c r="P16" s="26" t="s">
        <v>67</v>
      </c>
    </row>
    <row r="17" spans="1:16" ht="12.75">
      <c r="A17" s="19"/>
      <c r="B17" s="19"/>
      <c r="C17" s="19" t="s">
        <v>19</v>
      </c>
      <c r="D17" s="20">
        <v>2</v>
      </c>
      <c r="E17" s="21" t="s">
        <v>70</v>
      </c>
      <c r="F17" s="22" t="s">
        <v>71</v>
      </c>
      <c r="G17" s="29" t="s">
        <v>72</v>
      </c>
      <c r="H17" s="24">
        <v>60</v>
      </c>
      <c r="I17" s="24"/>
      <c r="J17" s="25" t="s">
        <v>73</v>
      </c>
      <c r="K17" s="32"/>
      <c r="L17" s="27" t="s">
        <v>74</v>
      </c>
      <c r="M17" s="28" t="s">
        <v>75</v>
      </c>
      <c r="N17" s="28" t="s">
        <v>76</v>
      </c>
      <c r="P17" s="26" t="s">
        <v>74</v>
      </c>
    </row>
    <row r="18" spans="1:16" ht="12.75">
      <c r="A18" s="19"/>
      <c r="B18" s="19"/>
      <c r="C18" s="19" t="s">
        <v>19</v>
      </c>
      <c r="D18" s="20">
        <v>2</v>
      </c>
      <c r="E18" s="21" t="s">
        <v>25</v>
      </c>
      <c r="F18" s="22" t="s">
        <v>77</v>
      </c>
      <c r="G18" s="22" t="s">
        <v>78</v>
      </c>
      <c r="H18" s="24">
        <v>60</v>
      </c>
      <c r="I18" s="24"/>
      <c r="J18" s="25" t="s">
        <v>79</v>
      </c>
      <c r="K18" s="32"/>
      <c r="L18" s="27" t="s">
        <v>80</v>
      </c>
      <c r="M18" s="33" t="s">
        <v>25</v>
      </c>
      <c r="N18" s="28" t="s">
        <v>81</v>
      </c>
      <c r="P18" s="26" t="s">
        <v>82</v>
      </c>
    </row>
    <row r="19" spans="1:16" ht="12.75">
      <c r="A19" s="19"/>
      <c r="B19" s="19"/>
      <c r="C19" s="19" t="s">
        <v>19</v>
      </c>
      <c r="D19" s="20">
        <v>2</v>
      </c>
      <c r="E19" s="21" t="s">
        <v>25</v>
      </c>
      <c r="F19" s="22" t="s">
        <v>83</v>
      </c>
      <c r="G19" s="22" t="s">
        <v>84</v>
      </c>
      <c r="H19" s="24">
        <v>90</v>
      </c>
      <c r="I19" s="24"/>
      <c r="J19" s="25" t="s">
        <v>85</v>
      </c>
      <c r="K19" s="32"/>
      <c r="L19" s="36" t="s">
        <v>42</v>
      </c>
      <c r="M19" s="33" t="s">
        <v>25</v>
      </c>
      <c r="N19" s="37" t="s">
        <v>86</v>
      </c>
      <c r="P19" s="26" t="s">
        <v>42</v>
      </c>
    </row>
    <row r="20" spans="1:16" ht="12.75">
      <c r="A20" s="9"/>
      <c r="B20" s="9"/>
      <c r="C20" s="9"/>
      <c r="D20" s="10"/>
      <c r="E20" s="11"/>
      <c r="F20" s="12"/>
      <c r="G20" s="12"/>
      <c r="H20" s="13"/>
      <c r="I20" s="13"/>
      <c r="J20" s="14"/>
      <c r="K20" s="15"/>
      <c r="L20" s="35"/>
      <c r="M20" s="6"/>
      <c r="N20" s="16"/>
      <c r="P20" s="6"/>
    </row>
    <row r="21" spans="1:16" ht="12.75">
      <c r="A21" s="19"/>
      <c r="B21" s="19"/>
      <c r="C21" s="19" t="s">
        <v>19</v>
      </c>
      <c r="D21" s="20">
        <v>3</v>
      </c>
      <c r="E21" s="21" t="s">
        <v>87</v>
      </c>
      <c r="F21" s="22" t="s">
        <v>88</v>
      </c>
      <c r="G21" s="23" t="s">
        <v>89</v>
      </c>
      <c r="H21" s="24">
        <v>60</v>
      </c>
      <c r="I21" s="24"/>
      <c r="J21" s="25" t="s">
        <v>90</v>
      </c>
      <c r="K21" s="32"/>
      <c r="L21" s="27" t="s">
        <v>47</v>
      </c>
      <c r="M21" s="28" t="s">
        <v>91</v>
      </c>
      <c r="N21" s="28" t="s">
        <v>92</v>
      </c>
      <c r="P21" s="26" t="s">
        <v>47</v>
      </c>
    </row>
    <row r="22" spans="1:16" ht="12.75">
      <c r="A22" s="19"/>
      <c r="B22" s="19"/>
      <c r="C22" s="19" t="s">
        <v>19</v>
      </c>
      <c r="D22" s="20">
        <v>3</v>
      </c>
      <c r="E22" s="21" t="s">
        <v>93</v>
      </c>
      <c r="F22" s="22" t="s">
        <v>94</v>
      </c>
      <c r="G22" s="29" t="s">
        <v>95</v>
      </c>
      <c r="H22" s="24">
        <v>90</v>
      </c>
      <c r="I22" s="24"/>
      <c r="J22" s="25" t="s">
        <v>96</v>
      </c>
      <c r="K22" s="26" t="s">
        <v>97</v>
      </c>
      <c r="L22" s="36" t="s">
        <v>63</v>
      </c>
      <c r="M22" s="28" t="s">
        <v>98</v>
      </c>
      <c r="N22" s="28" t="s">
        <v>99</v>
      </c>
      <c r="P22" s="26" t="s">
        <v>63</v>
      </c>
    </row>
    <row r="23" spans="1:16" ht="12.75">
      <c r="A23" s="19"/>
      <c r="B23" s="19"/>
      <c r="C23" s="19" t="s">
        <v>19</v>
      </c>
      <c r="D23" s="20">
        <v>3</v>
      </c>
      <c r="E23" s="21" t="s">
        <v>100</v>
      </c>
      <c r="F23" s="22" t="s">
        <v>101</v>
      </c>
      <c r="G23" s="23" t="s">
        <v>102</v>
      </c>
      <c r="H23" s="24">
        <v>60</v>
      </c>
      <c r="I23" s="24"/>
      <c r="J23" s="25" t="s">
        <v>103</v>
      </c>
      <c r="K23" s="32"/>
      <c r="L23" s="27" t="s">
        <v>104</v>
      </c>
      <c r="M23" s="28" t="s">
        <v>105</v>
      </c>
      <c r="N23" s="28" t="s">
        <v>106</v>
      </c>
      <c r="P23" s="26" t="s">
        <v>107</v>
      </c>
    </row>
    <row r="24" spans="1:16" ht="12.75">
      <c r="A24" s="19"/>
      <c r="B24" s="19"/>
      <c r="C24" s="19" t="s">
        <v>19</v>
      </c>
      <c r="D24" s="20">
        <v>3</v>
      </c>
      <c r="E24" s="21" t="s">
        <v>108</v>
      </c>
      <c r="F24" s="22" t="s">
        <v>109</v>
      </c>
      <c r="G24" s="29" t="s">
        <v>110</v>
      </c>
      <c r="H24" s="24">
        <v>60</v>
      </c>
      <c r="I24" s="24"/>
      <c r="J24" s="25" t="s">
        <v>111</v>
      </c>
      <c r="K24" s="26" t="s">
        <v>112</v>
      </c>
      <c r="L24" s="27" t="s">
        <v>113</v>
      </c>
      <c r="M24" s="33" t="s">
        <v>40</v>
      </c>
      <c r="N24" s="28" t="s">
        <v>114</v>
      </c>
      <c r="P24" s="26" t="s">
        <v>113</v>
      </c>
    </row>
    <row r="25" spans="1:16" ht="12.75">
      <c r="A25" s="19"/>
      <c r="B25" s="19"/>
      <c r="C25" s="19" t="s">
        <v>19</v>
      </c>
      <c r="D25" s="20">
        <v>3</v>
      </c>
      <c r="E25" s="21" t="s">
        <v>115</v>
      </c>
      <c r="F25" s="22" t="s">
        <v>116</v>
      </c>
      <c r="G25" s="29" t="s">
        <v>117</v>
      </c>
      <c r="H25" s="24">
        <v>60</v>
      </c>
      <c r="I25" s="24"/>
      <c r="J25" s="25" t="s">
        <v>118</v>
      </c>
      <c r="K25" s="38" t="s">
        <v>119</v>
      </c>
      <c r="L25" s="27" t="s">
        <v>120</v>
      </c>
      <c r="M25" s="28" t="s">
        <v>121</v>
      </c>
      <c r="N25" s="28" t="s">
        <v>122</v>
      </c>
      <c r="P25" s="26" t="s">
        <v>120</v>
      </c>
    </row>
    <row r="26" spans="1:16" ht="12.75">
      <c r="A26" s="13"/>
      <c r="B26" s="13"/>
      <c r="C26" s="13"/>
      <c r="D26" s="39"/>
      <c r="E26" s="40"/>
      <c r="H26" s="13"/>
      <c r="I26" s="13"/>
      <c r="J26" s="41"/>
      <c r="K26" s="15"/>
      <c r="L26" s="42"/>
      <c r="M26" s="6"/>
      <c r="N26" s="15"/>
      <c r="P26" s="15"/>
    </row>
    <row r="27" spans="1:16" ht="12.75">
      <c r="A27" s="19"/>
      <c r="B27" s="19"/>
      <c r="C27" s="19" t="s">
        <v>19</v>
      </c>
      <c r="D27" s="20">
        <v>4</v>
      </c>
      <c r="E27" s="21" t="s">
        <v>123</v>
      </c>
      <c r="F27" s="22" t="s">
        <v>124</v>
      </c>
      <c r="G27" s="23" t="s">
        <v>125</v>
      </c>
      <c r="H27" s="24">
        <v>60</v>
      </c>
      <c r="I27" s="24"/>
      <c r="J27" s="25" t="s">
        <v>126</v>
      </c>
      <c r="K27" s="32"/>
      <c r="L27" s="27" t="s">
        <v>127</v>
      </c>
      <c r="M27" s="28" t="s">
        <v>128</v>
      </c>
      <c r="N27" s="28" t="s">
        <v>129</v>
      </c>
      <c r="P27" s="26" t="s">
        <v>88</v>
      </c>
    </row>
    <row r="28" spans="1:16" ht="12.75">
      <c r="A28" s="19"/>
      <c r="B28" s="19"/>
      <c r="C28" s="19" t="s">
        <v>19</v>
      </c>
      <c r="D28" s="20">
        <v>4</v>
      </c>
      <c r="E28" s="21" t="s">
        <v>130</v>
      </c>
      <c r="F28" s="22" t="s">
        <v>131</v>
      </c>
      <c r="G28" s="23" t="s">
        <v>132</v>
      </c>
      <c r="H28" s="24">
        <v>60</v>
      </c>
      <c r="I28" s="24"/>
      <c r="J28" s="25" t="s">
        <v>133</v>
      </c>
      <c r="K28" s="32"/>
      <c r="L28" s="27" t="s">
        <v>101</v>
      </c>
      <c r="M28" s="28" t="s">
        <v>134</v>
      </c>
      <c r="N28" s="28" t="s">
        <v>135</v>
      </c>
      <c r="P28" s="26" t="s">
        <v>101</v>
      </c>
    </row>
    <row r="29" spans="1:16" ht="12.75">
      <c r="A29" s="19"/>
      <c r="B29" s="19"/>
      <c r="C29" s="19" t="s">
        <v>19</v>
      </c>
      <c r="D29" s="20">
        <v>4</v>
      </c>
      <c r="E29" s="21" t="s">
        <v>136</v>
      </c>
      <c r="F29" s="22" t="s">
        <v>137</v>
      </c>
      <c r="G29" s="29" t="s">
        <v>138</v>
      </c>
      <c r="H29" s="24">
        <v>60</v>
      </c>
      <c r="I29" s="24"/>
      <c r="J29" s="25" t="s">
        <v>139</v>
      </c>
      <c r="K29" s="26" t="s">
        <v>140</v>
      </c>
      <c r="L29" s="36" t="s">
        <v>141</v>
      </c>
      <c r="M29" s="28" t="s">
        <v>142</v>
      </c>
      <c r="N29" s="28" t="s">
        <v>143</v>
      </c>
      <c r="P29" s="26" t="s">
        <v>141</v>
      </c>
    </row>
    <row r="30" spans="1:16" ht="12.75">
      <c r="A30" s="19"/>
      <c r="B30" s="19"/>
      <c r="C30" s="19" t="s">
        <v>19</v>
      </c>
      <c r="D30" s="20">
        <v>4</v>
      </c>
      <c r="E30" s="21" t="s">
        <v>25</v>
      </c>
      <c r="F30" s="22" t="s">
        <v>144</v>
      </c>
      <c r="G30" s="22" t="s">
        <v>145</v>
      </c>
      <c r="H30" s="24">
        <v>60</v>
      </c>
      <c r="I30" s="24"/>
      <c r="J30" s="25" t="s">
        <v>146</v>
      </c>
      <c r="K30" s="32"/>
      <c r="L30" s="36" t="s">
        <v>42</v>
      </c>
      <c r="M30" s="33" t="s">
        <v>25</v>
      </c>
      <c r="N30" s="37" t="s">
        <v>147</v>
      </c>
      <c r="P30" s="26" t="s">
        <v>42</v>
      </c>
    </row>
    <row r="31" spans="1:16" ht="12.75">
      <c r="A31" s="19"/>
      <c r="B31" s="19"/>
      <c r="C31" s="19" t="s">
        <v>19</v>
      </c>
      <c r="D31" s="20">
        <v>4</v>
      </c>
      <c r="E31" s="21" t="s">
        <v>148</v>
      </c>
      <c r="F31" s="22" t="s">
        <v>149</v>
      </c>
      <c r="G31" s="29" t="s">
        <v>150</v>
      </c>
      <c r="H31" s="24">
        <v>60</v>
      </c>
      <c r="I31" s="24">
        <v>10</v>
      </c>
      <c r="J31" s="25" t="s">
        <v>151</v>
      </c>
      <c r="K31" s="26" t="s">
        <v>152</v>
      </c>
      <c r="L31" s="27" t="s">
        <v>109</v>
      </c>
      <c r="M31" s="28" t="s">
        <v>153</v>
      </c>
      <c r="N31" s="28" t="s">
        <v>154</v>
      </c>
      <c r="P31" s="26" t="s">
        <v>109</v>
      </c>
    </row>
    <row r="32" spans="1:16" ht="12.75">
      <c r="A32" s="19"/>
      <c r="B32" s="19"/>
      <c r="C32" s="19" t="s">
        <v>19</v>
      </c>
      <c r="D32" s="20">
        <v>4</v>
      </c>
      <c r="E32" s="21" t="s">
        <v>155</v>
      </c>
      <c r="F32" s="22" t="s">
        <v>156</v>
      </c>
      <c r="G32" s="29" t="s">
        <v>157</v>
      </c>
      <c r="H32" s="24">
        <v>60</v>
      </c>
      <c r="I32" s="24"/>
      <c r="J32" s="25" t="s">
        <v>158</v>
      </c>
      <c r="K32" s="32"/>
      <c r="L32" s="36" t="s">
        <v>109</v>
      </c>
      <c r="M32" s="33" t="s">
        <v>40</v>
      </c>
      <c r="N32" s="28" t="s">
        <v>159</v>
      </c>
      <c r="P32" s="26" t="s">
        <v>109</v>
      </c>
    </row>
    <row r="33" spans="1:16" ht="12.75">
      <c r="A33" s="13"/>
      <c r="B33" s="13"/>
      <c r="C33" s="13"/>
      <c r="D33" s="39"/>
      <c r="E33" s="40"/>
      <c r="H33" s="13"/>
      <c r="I33" s="13"/>
      <c r="J33" s="43"/>
      <c r="K33" s="44"/>
      <c r="L33" s="42"/>
      <c r="M33" s="6"/>
      <c r="N33" s="15"/>
      <c r="P33" s="15"/>
    </row>
    <row r="34" spans="1:16" ht="12.75">
      <c r="A34" s="19"/>
      <c r="B34" s="19"/>
      <c r="C34" s="19" t="s">
        <v>19</v>
      </c>
      <c r="D34" s="20">
        <v>5</v>
      </c>
      <c r="E34" s="21" t="s">
        <v>160</v>
      </c>
      <c r="F34" s="22" t="s">
        <v>161</v>
      </c>
      <c r="G34" s="29" t="s">
        <v>162</v>
      </c>
      <c r="H34" s="24">
        <v>60</v>
      </c>
      <c r="I34" s="24">
        <v>20</v>
      </c>
      <c r="J34" s="25" t="s">
        <v>163</v>
      </c>
      <c r="K34" s="32"/>
      <c r="L34" s="27" t="s">
        <v>164</v>
      </c>
      <c r="M34" s="28" t="s">
        <v>165</v>
      </c>
      <c r="N34" s="28" t="s">
        <v>166</v>
      </c>
      <c r="P34" s="26" t="s">
        <v>137</v>
      </c>
    </row>
    <row r="35" spans="1:16" ht="12.75">
      <c r="A35" s="19"/>
      <c r="B35" s="19"/>
      <c r="C35" s="19" t="s">
        <v>19</v>
      </c>
      <c r="D35" s="20">
        <v>5</v>
      </c>
      <c r="E35" s="21" t="s">
        <v>167</v>
      </c>
      <c r="F35" s="22" t="s">
        <v>168</v>
      </c>
      <c r="G35" s="29" t="s">
        <v>169</v>
      </c>
      <c r="H35" s="24">
        <v>60</v>
      </c>
      <c r="I35" s="24">
        <v>18</v>
      </c>
      <c r="J35" s="25" t="s">
        <v>170</v>
      </c>
      <c r="K35" s="26" t="s">
        <v>171</v>
      </c>
      <c r="L35" s="27" t="s">
        <v>172</v>
      </c>
      <c r="M35" s="45" t="s">
        <v>173</v>
      </c>
      <c r="N35" s="28" t="s">
        <v>174</v>
      </c>
      <c r="P35" s="26" t="s">
        <v>175</v>
      </c>
    </row>
    <row r="36" spans="1:16" ht="12.75">
      <c r="A36" s="19"/>
      <c r="B36" s="19"/>
      <c r="C36" s="19" t="s">
        <v>19</v>
      </c>
      <c r="D36" s="20">
        <v>5</v>
      </c>
      <c r="E36" s="21" t="s">
        <v>176</v>
      </c>
      <c r="F36" s="22" t="s">
        <v>177</v>
      </c>
      <c r="G36" s="46" t="s">
        <v>178</v>
      </c>
      <c r="H36" s="24">
        <v>60</v>
      </c>
      <c r="I36" s="24"/>
      <c r="J36" s="25"/>
      <c r="K36" s="26"/>
      <c r="L36" s="27"/>
      <c r="M36" s="33"/>
      <c r="N36" s="28" t="s">
        <v>179</v>
      </c>
      <c r="P36" s="26" t="s">
        <v>180</v>
      </c>
    </row>
    <row r="37" spans="1:16" ht="12.75">
      <c r="A37" s="19"/>
      <c r="B37" s="19"/>
      <c r="C37" s="19" t="s">
        <v>19</v>
      </c>
      <c r="D37" s="20">
        <v>5</v>
      </c>
      <c r="E37" s="21" t="s">
        <v>181</v>
      </c>
      <c r="F37" s="22" t="s">
        <v>182</v>
      </c>
      <c r="G37" s="47" t="s">
        <v>183</v>
      </c>
      <c r="H37" s="24">
        <v>120</v>
      </c>
      <c r="I37" s="24">
        <v>60</v>
      </c>
      <c r="J37" s="25" t="s">
        <v>39</v>
      </c>
      <c r="K37" s="32"/>
      <c r="L37" s="27" t="s">
        <v>184</v>
      </c>
      <c r="M37" s="28" t="s">
        <v>185</v>
      </c>
      <c r="N37" s="28" t="s">
        <v>186</v>
      </c>
      <c r="P37" s="26" t="s">
        <v>187</v>
      </c>
    </row>
    <row r="38" spans="1:16" ht="12.75">
      <c r="A38" s="19"/>
      <c r="B38" s="19"/>
      <c r="C38" s="19" t="s">
        <v>19</v>
      </c>
      <c r="D38" s="20">
        <v>5</v>
      </c>
      <c r="E38" s="21" t="s">
        <v>188</v>
      </c>
      <c r="F38" s="22" t="s">
        <v>189</v>
      </c>
      <c r="G38" s="29" t="s">
        <v>190</v>
      </c>
      <c r="H38" s="24">
        <v>60</v>
      </c>
      <c r="I38" s="24">
        <v>10</v>
      </c>
      <c r="J38" s="25" t="s">
        <v>191</v>
      </c>
      <c r="K38" s="26" t="s">
        <v>192</v>
      </c>
      <c r="L38" s="27" t="s">
        <v>193</v>
      </c>
      <c r="M38" s="28" t="s">
        <v>194</v>
      </c>
      <c r="N38" s="37" t="s">
        <v>195</v>
      </c>
      <c r="P38" s="26" t="s">
        <v>196</v>
      </c>
    </row>
    <row r="39" spans="1:16" ht="12.75">
      <c r="A39" s="13"/>
      <c r="B39" s="13"/>
      <c r="C39" s="13"/>
      <c r="D39" s="39"/>
      <c r="E39" s="40"/>
      <c r="H39" s="13"/>
      <c r="I39" s="13"/>
      <c r="J39" s="43"/>
      <c r="K39" s="44"/>
      <c r="L39" s="42"/>
      <c r="M39" s="6"/>
      <c r="N39" s="15"/>
      <c r="P39" s="15"/>
    </row>
    <row r="40" spans="1:16" ht="12.75">
      <c r="A40" s="19"/>
      <c r="B40" s="19"/>
      <c r="C40" s="19" t="s">
        <v>19</v>
      </c>
      <c r="D40" s="20">
        <v>6</v>
      </c>
      <c r="E40" s="21" t="s">
        <v>197</v>
      </c>
      <c r="F40" s="22" t="s">
        <v>198</v>
      </c>
      <c r="G40" s="29" t="s">
        <v>199</v>
      </c>
      <c r="H40" s="24">
        <v>60</v>
      </c>
      <c r="I40" s="24"/>
      <c r="J40" s="26" t="s">
        <v>200</v>
      </c>
      <c r="K40" s="25" t="s">
        <v>201</v>
      </c>
      <c r="L40" s="27" t="s">
        <v>202</v>
      </c>
      <c r="M40" s="28" t="s">
        <v>203</v>
      </c>
      <c r="N40" s="37" t="s">
        <v>204</v>
      </c>
      <c r="P40" s="26" t="s">
        <v>161</v>
      </c>
    </row>
    <row r="41" spans="1:16" ht="12.75">
      <c r="A41" s="19"/>
      <c r="B41" s="19"/>
      <c r="C41" s="19" t="s">
        <v>19</v>
      </c>
      <c r="D41" s="20">
        <v>6</v>
      </c>
      <c r="E41" s="21" t="s">
        <v>205</v>
      </c>
      <c r="F41" s="22" t="s">
        <v>206</v>
      </c>
      <c r="G41" s="29" t="s">
        <v>207</v>
      </c>
      <c r="H41" s="24">
        <v>60</v>
      </c>
      <c r="I41" s="24">
        <v>20</v>
      </c>
      <c r="J41" s="25" t="s">
        <v>208</v>
      </c>
      <c r="K41" s="32"/>
      <c r="L41" s="27" t="s">
        <v>209</v>
      </c>
      <c r="M41" s="28" t="s">
        <v>210</v>
      </c>
      <c r="N41" s="37" t="s">
        <v>211</v>
      </c>
      <c r="P41" s="26" t="s">
        <v>212</v>
      </c>
    </row>
    <row r="42" spans="1:16" ht="12.75">
      <c r="A42" s="19"/>
      <c r="B42" s="19"/>
      <c r="C42" s="19" t="s">
        <v>19</v>
      </c>
      <c r="D42" s="20">
        <v>6</v>
      </c>
      <c r="E42" s="21" t="s">
        <v>213</v>
      </c>
      <c r="F42" s="22" t="s">
        <v>214</v>
      </c>
      <c r="G42" s="29" t="s">
        <v>215</v>
      </c>
      <c r="H42" s="24">
        <v>60</v>
      </c>
      <c r="I42" s="24"/>
      <c r="J42" s="25" t="s">
        <v>216</v>
      </c>
      <c r="K42" s="32"/>
      <c r="L42" s="27" t="s">
        <v>189</v>
      </c>
      <c r="M42" s="28" t="s">
        <v>217</v>
      </c>
      <c r="N42" s="37" t="s">
        <v>218</v>
      </c>
      <c r="P42" s="26" t="s">
        <v>219</v>
      </c>
    </row>
    <row r="43" spans="1:16" ht="12.75">
      <c r="A43" s="19"/>
      <c r="B43" s="19"/>
      <c r="C43" s="19" t="s">
        <v>19</v>
      </c>
      <c r="D43" s="20">
        <v>6</v>
      </c>
      <c r="E43" s="21" t="s">
        <v>220</v>
      </c>
      <c r="F43" s="22" t="s">
        <v>221</v>
      </c>
      <c r="G43" s="29" t="s">
        <v>222</v>
      </c>
      <c r="H43" s="24">
        <v>60</v>
      </c>
      <c r="I43" s="24"/>
      <c r="J43" s="25" t="s">
        <v>223</v>
      </c>
      <c r="K43" s="32"/>
      <c r="L43" s="27" t="s">
        <v>224</v>
      </c>
      <c r="M43" s="28" t="s">
        <v>225</v>
      </c>
      <c r="N43" s="37" t="s">
        <v>226</v>
      </c>
      <c r="P43" s="26" t="s">
        <v>227</v>
      </c>
    </row>
    <row r="44" spans="1:16" ht="12.75">
      <c r="A44" s="19"/>
      <c r="B44" s="19"/>
      <c r="C44" s="19" t="s">
        <v>19</v>
      </c>
      <c r="D44" s="20">
        <v>6</v>
      </c>
      <c r="E44" s="21" t="s">
        <v>228</v>
      </c>
      <c r="F44" s="22" t="s">
        <v>229</v>
      </c>
      <c r="G44" s="29" t="s">
        <v>230</v>
      </c>
      <c r="H44" s="24">
        <v>60</v>
      </c>
      <c r="I44" s="24"/>
      <c r="J44" s="48"/>
      <c r="K44" s="32"/>
      <c r="L44" s="27" t="s">
        <v>88</v>
      </c>
      <c r="M44" s="28" t="s">
        <v>231</v>
      </c>
      <c r="N44" s="28" t="s">
        <v>232</v>
      </c>
      <c r="P44" s="26" t="s">
        <v>233</v>
      </c>
    </row>
    <row r="45" spans="1:16" ht="12.75">
      <c r="A45" s="49"/>
      <c r="B45" s="49"/>
      <c r="C45" s="49"/>
      <c r="D45" s="39"/>
      <c r="E45" s="40"/>
      <c r="H45" s="49"/>
      <c r="I45" s="49"/>
      <c r="J45" s="41"/>
      <c r="K45" s="15"/>
      <c r="L45" s="42"/>
      <c r="M45" s="6"/>
      <c r="N45" s="15"/>
      <c r="P45" s="15"/>
    </row>
    <row r="46" spans="1:16" ht="12.75">
      <c r="A46" s="19"/>
      <c r="B46" s="19"/>
      <c r="C46" s="19" t="s">
        <v>19</v>
      </c>
      <c r="D46" s="20">
        <v>7</v>
      </c>
      <c r="E46" s="21" t="s">
        <v>234</v>
      </c>
      <c r="F46" s="22" t="s">
        <v>235</v>
      </c>
      <c r="G46" s="29" t="s">
        <v>236</v>
      </c>
      <c r="H46" s="24">
        <v>60</v>
      </c>
      <c r="I46" s="24"/>
      <c r="J46" s="25" t="s">
        <v>237</v>
      </c>
      <c r="K46" s="26" t="s">
        <v>238</v>
      </c>
      <c r="L46" s="27" t="s">
        <v>239</v>
      </c>
      <c r="M46" s="28" t="s">
        <v>240</v>
      </c>
      <c r="N46" s="28" t="s">
        <v>241</v>
      </c>
      <c r="P46" s="26" t="s">
        <v>242</v>
      </c>
    </row>
    <row r="47" spans="1:16" ht="12.75">
      <c r="A47" s="19"/>
      <c r="B47" s="19"/>
      <c r="C47" s="19" t="s">
        <v>19</v>
      </c>
      <c r="D47" s="20">
        <v>7</v>
      </c>
      <c r="E47" s="21" t="s">
        <v>243</v>
      </c>
      <c r="F47" s="22" t="s">
        <v>244</v>
      </c>
      <c r="G47" s="29" t="s">
        <v>245</v>
      </c>
      <c r="H47" s="24">
        <v>60</v>
      </c>
      <c r="I47" s="24"/>
      <c r="J47" s="25" t="s">
        <v>246</v>
      </c>
      <c r="K47" s="32"/>
      <c r="L47" s="27" t="s">
        <v>247</v>
      </c>
      <c r="M47" s="28" t="s">
        <v>248</v>
      </c>
      <c r="N47" s="37" t="s">
        <v>249</v>
      </c>
      <c r="P47" s="26" t="s">
        <v>250</v>
      </c>
    </row>
    <row r="48" spans="1:16" ht="12.75">
      <c r="A48" s="19"/>
      <c r="B48" s="19"/>
      <c r="C48" s="19" t="s">
        <v>19</v>
      </c>
      <c r="D48" s="20">
        <v>7</v>
      </c>
      <c r="E48" s="21" t="s">
        <v>251</v>
      </c>
      <c r="F48" s="22" t="s">
        <v>252</v>
      </c>
      <c r="G48" s="23" t="s">
        <v>253</v>
      </c>
      <c r="H48" s="24">
        <v>60</v>
      </c>
      <c r="I48" s="24"/>
      <c r="J48" s="25" t="s">
        <v>254</v>
      </c>
      <c r="K48" s="32"/>
      <c r="L48" s="27" t="s">
        <v>255</v>
      </c>
      <c r="M48" s="28" t="s">
        <v>256</v>
      </c>
      <c r="N48" s="37" t="s">
        <v>257</v>
      </c>
      <c r="P48" s="26" t="s">
        <v>258</v>
      </c>
    </row>
    <row r="49" spans="1:16" ht="12.75">
      <c r="A49" s="19"/>
      <c r="B49" s="19"/>
      <c r="C49" s="19" t="s">
        <v>19</v>
      </c>
      <c r="D49" s="20">
        <v>7</v>
      </c>
      <c r="E49" s="21" t="s">
        <v>259</v>
      </c>
      <c r="F49" s="22" t="s">
        <v>260</v>
      </c>
      <c r="G49" s="29" t="s">
        <v>261</v>
      </c>
      <c r="H49" s="24">
        <v>60</v>
      </c>
      <c r="I49" s="24">
        <v>10</v>
      </c>
      <c r="J49" s="26" t="s">
        <v>262</v>
      </c>
      <c r="K49" s="26" t="s">
        <v>263</v>
      </c>
      <c r="L49" s="27" t="s">
        <v>264</v>
      </c>
      <c r="M49" s="45" t="s">
        <v>265</v>
      </c>
      <c r="N49" s="28" t="s">
        <v>266</v>
      </c>
      <c r="P49" s="26" t="s">
        <v>206</v>
      </c>
    </row>
    <row r="50" spans="1:16" ht="12.75">
      <c r="A50" s="19"/>
      <c r="B50" s="19"/>
      <c r="C50" s="19" t="s">
        <v>19</v>
      </c>
      <c r="D50" s="20">
        <v>7</v>
      </c>
      <c r="E50" s="21" t="s">
        <v>267</v>
      </c>
      <c r="F50" s="22" t="s">
        <v>268</v>
      </c>
      <c r="G50" s="29" t="s">
        <v>269</v>
      </c>
      <c r="H50" s="24">
        <v>60</v>
      </c>
      <c r="I50" s="24"/>
      <c r="J50" s="48"/>
      <c r="K50" s="32"/>
      <c r="L50" s="27" t="s">
        <v>270</v>
      </c>
      <c r="M50" s="28" t="s">
        <v>271</v>
      </c>
      <c r="N50" s="37" t="s">
        <v>272</v>
      </c>
      <c r="P50" s="26" t="s">
        <v>229</v>
      </c>
    </row>
    <row r="51" spans="1:16" ht="12.75">
      <c r="A51" s="49"/>
      <c r="B51" s="49"/>
      <c r="C51" s="49"/>
      <c r="D51" s="39"/>
      <c r="E51" s="40"/>
      <c r="H51" s="49"/>
      <c r="I51" s="49"/>
      <c r="J51" s="41"/>
      <c r="K51" s="15"/>
      <c r="L51" s="42"/>
      <c r="M51" s="6"/>
      <c r="N51" s="15"/>
      <c r="P51" s="15"/>
    </row>
    <row r="52" spans="1:16" ht="12.75">
      <c r="A52" s="19"/>
      <c r="B52" s="19"/>
      <c r="C52" s="19" t="s">
        <v>19</v>
      </c>
      <c r="D52" s="20">
        <v>8</v>
      </c>
      <c r="E52" s="21" t="s">
        <v>273</v>
      </c>
      <c r="F52" s="22" t="s">
        <v>274</v>
      </c>
      <c r="G52" s="47" t="s">
        <v>275</v>
      </c>
      <c r="H52" s="24">
        <v>120</v>
      </c>
      <c r="I52" s="24">
        <v>60</v>
      </c>
      <c r="J52" s="25"/>
      <c r="K52" s="32"/>
      <c r="L52" s="27" t="s">
        <v>276</v>
      </c>
      <c r="M52" s="28" t="s">
        <v>277</v>
      </c>
      <c r="N52" s="37" t="s">
        <v>278</v>
      </c>
      <c r="P52" s="26" t="s">
        <v>276</v>
      </c>
    </row>
    <row r="53" spans="1:16" ht="12.75">
      <c r="A53" s="49"/>
      <c r="B53" s="49"/>
      <c r="C53" s="49"/>
      <c r="D53" s="10"/>
      <c r="E53" s="40"/>
      <c r="H53" s="49"/>
      <c r="I53" s="49"/>
      <c r="J53" s="41"/>
      <c r="K53" s="15"/>
      <c r="L53" s="42"/>
      <c r="M53" s="15"/>
      <c r="N53" s="15"/>
      <c r="P53" s="15"/>
    </row>
    <row r="54" spans="1:16" ht="12.75">
      <c r="A54" s="19"/>
      <c r="B54" s="19"/>
      <c r="C54" s="19" t="s">
        <v>19</v>
      </c>
      <c r="D54" s="20">
        <v>9</v>
      </c>
      <c r="E54" s="21" t="s">
        <v>36</v>
      </c>
      <c r="F54" s="22" t="s">
        <v>279</v>
      </c>
      <c r="G54" s="22" t="s">
        <v>280</v>
      </c>
      <c r="H54" s="24">
        <v>120</v>
      </c>
      <c r="I54" s="24">
        <v>120</v>
      </c>
      <c r="J54" s="25"/>
      <c r="K54" s="32"/>
      <c r="L54" s="27" t="s">
        <v>281</v>
      </c>
      <c r="M54" s="33" t="s">
        <v>25</v>
      </c>
      <c r="N54" s="33"/>
      <c r="P54" s="26" t="s">
        <v>281</v>
      </c>
    </row>
    <row r="55" spans="1:16" ht="12.75">
      <c r="A55" s="19"/>
      <c r="B55" s="19"/>
      <c r="C55" s="19" t="s">
        <v>19</v>
      </c>
      <c r="D55" s="20">
        <v>10</v>
      </c>
      <c r="E55" s="21" t="s">
        <v>36</v>
      </c>
      <c r="F55" s="22" t="s">
        <v>282</v>
      </c>
      <c r="G55" s="22" t="s">
        <v>280</v>
      </c>
      <c r="H55" s="24">
        <v>120</v>
      </c>
      <c r="I55" s="24">
        <v>120</v>
      </c>
      <c r="J55" s="25"/>
      <c r="K55" s="32"/>
      <c r="L55" s="27" t="s">
        <v>279</v>
      </c>
      <c r="M55" s="33" t="s">
        <v>25</v>
      </c>
      <c r="N55" s="33"/>
      <c r="P55" s="26" t="s">
        <v>279</v>
      </c>
    </row>
    <row r="56" spans="1:16" ht="12.75">
      <c r="A56" s="49"/>
      <c r="B56" s="49"/>
      <c r="C56" s="49"/>
      <c r="D56" s="39"/>
      <c r="E56" s="40"/>
      <c r="G56" s="50"/>
      <c r="H56" s="49"/>
      <c r="I56" s="49"/>
      <c r="J56" s="41"/>
      <c r="K56" s="15"/>
      <c r="L56" s="15"/>
      <c r="M56" s="15"/>
      <c r="N56" s="15"/>
      <c r="P56" s="15"/>
    </row>
    <row r="57" spans="1:16" ht="12.75">
      <c r="A57" s="49"/>
      <c r="B57" s="49"/>
      <c r="C57" s="49"/>
      <c r="D57" s="39"/>
      <c r="E57" s="40"/>
      <c r="G57" s="50" t="s">
        <v>283</v>
      </c>
      <c r="H57" s="49"/>
      <c r="I57" s="49"/>
      <c r="J57" s="51" t="s">
        <v>284</v>
      </c>
      <c r="K57" s="15"/>
      <c r="L57" s="15"/>
      <c r="M57" s="15"/>
      <c r="N57" s="15"/>
      <c r="P57" s="15"/>
    </row>
    <row r="58" spans="1:16" ht="12.75">
      <c r="A58" s="49"/>
      <c r="B58" s="49"/>
      <c r="C58" s="49"/>
      <c r="D58" s="39"/>
      <c r="E58" s="40"/>
      <c r="G58" s="12">
        <v>1</v>
      </c>
      <c r="H58" s="49">
        <f t="shared" ref="H58:H67" si="0">SUMIF($D$8:$D$55, G58, $H$8:$H$55)</f>
        <v>360</v>
      </c>
      <c r="I58" s="49">
        <f t="shared" ref="I58:I67" si="1">SUMIF($D$8:$D$55, G58, $I$8:$I$55)</f>
        <v>15</v>
      </c>
      <c r="J58" s="52">
        <f t="shared" ref="J58:J67" si="2">H58/15</f>
        <v>24</v>
      </c>
      <c r="K58" s="15"/>
      <c r="L58" s="15"/>
      <c r="M58" s="15"/>
      <c r="N58" s="15"/>
      <c r="P58" s="15"/>
    </row>
    <row r="59" spans="1:16" ht="12.75">
      <c r="A59" s="49"/>
      <c r="B59" s="49"/>
      <c r="C59" s="49"/>
      <c r="D59" s="39"/>
      <c r="E59" s="40"/>
      <c r="G59" s="12">
        <v>2</v>
      </c>
      <c r="H59" s="49">
        <f t="shared" si="0"/>
        <v>360</v>
      </c>
      <c r="I59" s="49">
        <f t="shared" si="1"/>
        <v>10</v>
      </c>
      <c r="J59" s="52">
        <f t="shared" si="2"/>
        <v>24</v>
      </c>
      <c r="K59" s="15"/>
      <c r="L59" s="15"/>
      <c r="M59" s="15"/>
      <c r="N59" s="15"/>
      <c r="P59" s="15"/>
    </row>
    <row r="60" spans="1:16" ht="12.75">
      <c r="A60" s="49"/>
      <c r="B60" s="49"/>
      <c r="C60" s="49"/>
      <c r="D60" s="39"/>
      <c r="E60" s="40"/>
      <c r="G60" s="12">
        <v>3</v>
      </c>
      <c r="H60" s="49">
        <f t="shared" si="0"/>
        <v>330</v>
      </c>
      <c r="I60" s="49">
        <f t="shared" si="1"/>
        <v>0</v>
      </c>
      <c r="J60" s="52">
        <f t="shared" si="2"/>
        <v>22</v>
      </c>
      <c r="K60" s="15"/>
      <c r="L60" s="15"/>
      <c r="M60" s="15"/>
      <c r="N60" s="15"/>
      <c r="P60" s="15"/>
    </row>
    <row r="61" spans="1:16" ht="12.75">
      <c r="A61" s="49"/>
      <c r="B61" s="49"/>
      <c r="C61" s="49"/>
      <c r="D61" s="39"/>
      <c r="E61" s="40"/>
      <c r="G61" s="12">
        <v>4</v>
      </c>
      <c r="H61" s="49">
        <f t="shared" si="0"/>
        <v>360</v>
      </c>
      <c r="I61" s="49">
        <f t="shared" si="1"/>
        <v>10</v>
      </c>
      <c r="J61" s="52">
        <f t="shared" si="2"/>
        <v>24</v>
      </c>
      <c r="K61" s="15"/>
      <c r="L61" s="15"/>
      <c r="M61" s="15"/>
      <c r="N61" s="15"/>
      <c r="P61" s="15"/>
    </row>
    <row r="62" spans="1:16" ht="12.75">
      <c r="A62" s="49"/>
      <c r="B62" s="49"/>
      <c r="C62" s="49"/>
      <c r="D62" s="39"/>
      <c r="E62" s="40"/>
      <c r="G62" s="12">
        <v>5</v>
      </c>
      <c r="H62" s="49">
        <f t="shared" si="0"/>
        <v>360</v>
      </c>
      <c r="I62" s="49">
        <f t="shared" si="1"/>
        <v>108</v>
      </c>
      <c r="J62" s="52">
        <f t="shared" si="2"/>
        <v>24</v>
      </c>
      <c r="K62" s="15"/>
      <c r="L62" s="15"/>
      <c r="M62" s="15"/>
      <c r="N62" s="15"/>
      <c r="P62" s="15"/>
    </row>
    <row r="63" spans="1:16" ht="12.75">
      <c r="A63" s="49"/>
      <c r="B63" s="49"/>
      <c r="C63" s="49"/>
      <c r="D63" s="39"/>
      <c r="E63" s="40"/>
      <c r="G63" s="12">
        <v>6</v>
      </c>
      <c r="H63" s="49">
        <f t="shared" si="0"/>
        <v>300</v>
      </c>
      <c r="I63" s="49">
        <f t="shared" si="1"/>
        <v>20</v>
      </c>
      <c r="J63" s="52">
        <f t="shared" si="2"/>
        <v>20</v>
      </c>
      <c r="K63" s="15"/>
      <c r="L63" s="15"/>
      <c r="M63" s="15"/>
      <c r="N63" s="15"/>
      <c r="P63" s="15"/>
    </row>
    <row r="64" spans="1:16" ht="12.75">
      <c r="A64" s="49"/>
      <c r="B64" s="49"/>
      <c r="C64" s="49"/>
      <c r="D64" s="39"/>
      <c r="E64" s="40"/>
      <c r="G64" s="12">
        <v>7</v>
      </c>
      <c r="H64" s="49">
        <f t="shared" si="0"/>
        <v>300</v>
      </c>
      <c r="I64" s="49">
        <f t="shared" si="1"/>
        <v>10</v>
      </c>
      <c r="J64" s="52">
        <f t="shared" si="2"/>
        <v>20</v>
      </c>
      <c r="K64" s="15"/>
      <c r="L64" s="15"/>
      <c r="M64" s="15"/>
      <c r="N64" s="15"/>
      <c r="P64" s="15"/>
    </row>
    <row r="65" spans="1:16" ht="12.75">
      <c r="A65" s="49"/>
      <c r="B65" s="49"/>
      <c r="C65" s="49"/>
      <c r="D65" s="39"/>
      <c r="E65" s="40"/>
      <c r="G65" s="12">
        <v>8</v>
      </c>
      <c r="H65" s="49">
        <f t="shared" si="0"/>
        <v>120</v>
      </c>
      <c r="I65" s="49">
        <f t="shared" si="1"/>
        <v>60</v>
      </c>
      <c r="J65" s="52">
        <f t="shared" si="2"/>
        <v>8</v>
      </c>
      <c r="K65" s="15"/>
      <c r="L65" s="15"/>
      <c r="M65" s="15"/>
      <c r="N65" s="15"/>
      <c r="P65" s="15"/>
    </row>
    <row r="66" spans="1:16" ht="12.75">
      <c r="A66" s="49"/>
      <c r="B66" s="49"/>
      <c r="C66" s="49"/>
      <c r="D66" s="39"/>
      <c r="E66" s="40"/>
      <c r="G66" s="12">
        <v>9</v>
      </c>
      <c r="H66" s="49">
        <f t="shared" si="0"/>
        <v>120</v>
      </c>
      <c r="I66" s="49">
        <f t="shared" si="1"/>
        <v>120</v>
      </c>
      <c r="J66" s="52">
        <f t="shared" si="2"/>
        <v>8</v>
      </c>
      <c r="K66" s="15"/>
      <c r="L66" s="15"/>
      <c r="M66" s="15"/>
      <c r="N66" s="15"/>
      <c r="P66" s="15"/>
    </row>
    <row r="67" spans="1:16" ht="12.75">
      <c r="A67" s="49"/>
      <c r="B67" s="49"/>
      <c r="C67" s="49"/>
      <c r="D67" s="39"/>
      <c r="E67" s="40"/>
      <c r="G67" s="12">
        <v>10</v>
      </c>
      <c r="H67" s="49">
        <f t="shared" si="0"/>
        <v>120</v>
      </c>
      <c r="I67" s="49">
        <f t="shared" si="1"/>
        <v>120</v>
      </c>
      <c r="J67" s="52">
        <f t="shared" si="2"/>
        <v>8</v>
      </c>
      <c r="K67" s="15"/>
      <c r="L67" s="15"/>
      <c r="M67" s="15"/>
      <c r="N67" s="15"/>
      <c r="P67" s="15"/>
    </row>
    <row r="68" spans="1:16" ht="12.75">
      <c r="A68" s="49"/>
      <c r="B68" s="49"/>
      <c r="C68" s="49"/>
      <c r="D68" s="39"/>
      <c r="E68" s="40"/>
      <c r="H68" s="49"/>
      <c r="I68" s="49"/>
      <c r="J68" s="41"/>
      <c r="K68" s="15"/>
      <c r="L68" s="15"/>
      <c r="M68" s="15"/>
      <c r="N68" s="15"/>
      <c r="P68" s="15"/>
    </row>
    <row r="69" spans="1:16" ht="12.75">
      <c r="A69" s="53"/>
      <c r="B69" s="53"/>
      <c r="C69" s="153" t="s">
        <v>285</v>
      </c>
      <c r="D69" s="141"/>
      <c r="E69" s="141"/>
      <c r="F69" s="12"/>
      <c r="G69" s="54" t="s">
        <v>286</v>
      </c>
      <c r="H69" s="49"/>
      <c r="I69" s="49"/>
      <c r="J69" s="41"/>
      <c r="K69" s="15"/>
      <c r="L69" s="15"/>
      <c r="M69" s="15"/>
      <c r="N69" s="15"/>
      <c r="P69" s="15"/>
    </row>
    <row r="70" spans="1:16" ht="12.75">
      <c r="A70" s="55"/>
      <c r="B70" s="55"/>
      <c r="C70" s="55" t="s">
        <v>287</v>
      </c>
      <c r="D70" s="9"/>
      <c r="E70" s="56"/>
      <c r="F70" s="12">
        <v>2610</v>
      </c>
      <c r="G70" s="12" t="s">
        <v>287</v>
      </c>
      <c r="H70" s="49">
        <f>SUM(H58:H67) + 6*15</f>
        <v>2820</v>
      </c>
      <c r="I70" s="49">
        <f t="shared" ref="I70:I71" si="3">H70/15</f>
        <v>188</v>
      </c>
      <c r="J70" s="14" t="s">
        <v>288</v>
      </c>
      <c r="K70" s="15"/>
      <c r="L70" s="15"/>
      <c r="M70" s="15"/>
      <c r="N70" s="15"/>
      <c r="P70" s="15"/>
    </row>
    <row r="71" spans="1:16" ht="12.75">
      <c r="A71" s="55"/>
      <c r="B71" s="55"/>
      <c r="C71" s="55" t="s">
        <v>289</v>
      </c>
      <c r="D71" s="9"/>
      <c r="E71" s="56"/>
      <c r="F71" s="12">
        <f>6*60</f>
        <v>360</v>
      </c>
      <c r="G71" s="12" t="s">
        <v>289</v>
      </c>
      <c r="H71" s="13">
        <f>4*60</f>
        <v>240</v>
      </c>
      <c r="I71" s="49">
        <f t="shared" si="3"/>
        <v>16</v>
      </c>
      <c r="J71" s="14" t="s">
        <v>290</v>
      </c>
      <c r="K71" s="15">
        <f>H71/60</f>
        <v>4</v>
      </c>
      <c r="L71" s="15"/>
      <c r="M71" s="15"/>
      <c r="N71" s="15"/>
      <c r="P71" s="15"/>
    </row>
    <row r="72" spans="1:16" ht="12.75">
      <c r="A72" s="57"/>
      <c r="B72" s="57"/>
      <c r="C72" s="154" t="s">
        <v>291</v>
      </c>
      <c r="D72" s="141"/>
      <c r="E72" s="141"/>
      <c r="F72" s="12">
        <v>330</v>
      </c>
      <c r="G72" s="12" t="s">
        <v>291</v>
      </c>
      <c r="H72" s="58">
        <f>(H70+H71)/9</f>
        <v>340</v>
      </c>
      <c r="I72" s="49"/>
      <c r="J72" s="14" t="s">
        <v>292</v>
      </c>
      <c r="K72" s="15"/>
      <c r="L72" s="15"/>
      <c r="M72" s="15"/>
      <c r="N72" s="15"/>
      <c r="P72" s="15"/>
    </row>
    <row r="73" spans="1:16" ht="12.75">
      <c r="A73" s="55"/>
      <c r="B73" s="55"/>
      <c r="C73" s="55" t="s">
        <v>293</v>
      </c>
      <c r="D73" s="9"/>
      <c r="E73" s="56"/>
      <c r="F73" s="12">
        <f>SUM(F70:F72)</f>
        <v>3300</v>
      </c>
      <c r="G73" s="12" t="s">
        <v>293</v>
      </c>
      <c r="H73" s="59">
        <f>SUM(H70:H72)</f>
        <v>3400</v>
      </c>
      <c r="I73" s="49"/>
      <c r="J73" s="41"/>
      <c r="K73" s="15"/>
      <c r="L73" s="15"/>
      <c r="M73" s="15"/>
      <c r="N73" s="15"/>
      <c r="P73" s="15"/>
    </row>
    <row r="74" spans="1:16" ht="12.75">
      <c r="A74" s="9"/>
      <c r="B74" s="9"/>
      <c r="C74" s="9"/>
      <c r="D74" s="10"/>
      <c r="E74" s="11"/>
      <c r="F74" s="12"/>
      <c r="G74" s="12"/>
      <c r="H74" s="49"/>
      <c r="I74" s="49"/>
      <c r="J74" s="41"/>
      <c r="K74" s="15"/>
      <c r="L74" s="15"/>
      <c r="M74" s="15"/>
      <c r="N74" s="15"/>
      <c r="P74" s="15"/>
    </row>
    <row r="75" spans="1:16" ht="12.75">
      <c r="A75" s="9"/>
      <c r="B75" s="9"/>
      <c r="E75" s="60"/>
      <c r="G75" s="12" t="s">
        <v>294</v>
      </c>
      <c r="H75" s="49">
        <f>SUM(H58:H65)</f>
        <v>2490</v>
      </c>
      <c r="I75" s="49">
        <f t="shared" ref="I75:I76" si="4">H75/15</f>
        <v>166</v>
      </c>
      <c r="J75" s="41"/>
      <c r="K75" s="15"/>
      <c r="L75" s="15"/>
      <c r="M75" s="15"/>
      <c r="N75" s="15"/>
      <c r="P75" s="15"/>
    </row>
    <row r="76" spans="1:16" ht="12.75">
      <c r="A76" s="9"/>
      <c r="B76" s="9"/>
      <c r="C76" s="12" t="s">
        <v>294</v>
      </c>
      <c r="D76" s="10"/>
      <c r="E76" s="11"/>
      <c r="F76" s="12">
        <v>152</v>
      </c>
      <c r="G76" s="12" t="s">
        <v>295</v>
      </c>
      <c r="H76" s="49">
        <f>H75-120*2</f>
        <v>2250</v>
      </c>
      <c r="I76" s="49">
        <f t="shared" si="4"/>
        <v>150</v>
      </c>
      <c r="J76" s="41"/>
      <c r="K76" s="15"/>
      <c r="L76" s="15"/>
      <c r="M76" s="15"/>
      <c r="N76" s="15"/>
      <c r="P76" s="15"/>
    </row>
    <row r="77" spans="1:16" ht="12.75">
      <c r="A77" s="9"/>
      <c r="B77" s="9"/>
      <c r="C77" s="9"/>
      <c r="D77" s="10"/>
      <c r="E77" s="11"/>
      <c r="F77" s="12"/>
      <c r="G77" s="12"/>
      <c r="H77" s="49"/>
      <c r="I77" s="49"/>
      <c r="J77" s="41"/>
      <c r="K77" s="15"/>
      <c r="L77" s="15"/>
      <c r="M77" s="15"/>
      <c r="N77" s="15"/>
      <c r="P77" s="15"/>
    </row>
    <row r="78" spans="1:16" ht="12.75">
      <c r="A78" s="9"/>
      <c r="B78" s="9"/>
      <c r="C78" s="9"/>
      <c r="D78" s="10"/>
      <c r="E78" s="11"/>
      <c r="G78" s="12"/>
      <c r="H78" s="49"/>
      <c r="I78" s="49"/>
      <c r="J78" s="41"/>
      <c r="K78" s="15"/>
      <c r="L78" s="15"/>
      <c r="M78" s="15"/>
      <c r="N78" s="15"/>
      <c r="P78" s="15"/>
    </row>
    <row r="79" spans="1:16" ht="12.75">
      <c r="A79" s="9"/>
      <c r="B79" s="9"/>
      <c r="C79" s="9"/>
      <c r="D79" s="10"/>
      <c r="E79" s="11"/>
      <c r="F79" s="12"/>
      <c r="G79" s="12"/>
      <c r="H79" s="49"/>
      <c r="I79" s="49"/>
      <c r="J79" s="41"/>
      <c r="K79" s="15"/>
      <c r="L79" s="15"/>
      <c r="M79" s="15"/>
      <c r="N79" s="15"/>
      <c r="P79" s="15"/>
    </row>
    <row r="80" spans="1:16" ht="26.25">
      <c r="A80" s="17"/>
      <c r="B80" s="17"/>
      <c r="C80" s="147" t="s">
        <v>296</v>
      </c>
      <c r="D80" s="141"/>
      <c r="E80" s="141"/>
      <c r="F80" s="141"/>
      <c r="G80" s="141"/>
      <c r="H80" s="49"/>
      <c r="I80" s="49"/>
      <c r="J80" s="41"/>
      <c r="K80" s="15"/>
      <c r="L80" s="15"/>
      <c r="M80" s="15"/>
      <c r="N80" s="15"/>
      <c r="P80" s="15"/>
    </row>
    <row r="81" spans="1:16" ht="12.75">
      <c r="A81" s="19"/>
      <c r="B81" s="19"/>
      <c r="C81" s="19" t="s">
        <v>40</v>
      </c>
      <c r="D81" s="20">
        <v>5</v>
      </c>
      <c r="E81" s="21" t="s">
        <v>176</v>
      </c>
      <c r="F81" s="22" t="s">
        <v>297</v>
      </c>
      <c r="G81" s="29" t="s">
        <v>298</v>
      </c>
      <c r="H81" s="24">
        <v>60</v>
      </c>
      <c r="I81" s="24">
        <v>10</v>
      </c>
      <c r="J81" s="25" t="s">
        <v>299</v>
      </c>
      <c r="K81" s="26" t="s">
        <v>300</v>
      </c>
      <c r="L81" s="27" t="s">
        <v>301</v>
      </c>
      <c r="M81" s="28" t="s">
        <v>302</v>
      </c>
      <c r="N81" s="28" t="s">
        <v>179</v>
      </c>
      <c r="P81" s="26" t="s">
        <v>180</v>
      </c>
    </row>
    <row r="82" spans="1:16" ht="12.75">
      <c r="A82" s="9"/>
      <c r="B82" s="9"/>
      <c r="C82" s="9"/>
      <c r="D82" s="10"/>
      <c r="E82" s="11"/>
      <c r="F82" s="12"/>
      <c r="G82" s="12"/>
      <c r="H82" s="49"/>
      <c r="I82" s="49"/>
      <c r="J82" s="41"/>
      <c r="K82" s="15"/>
      <c r="L82" s="15"/>
      <c r="M82" s="15"/>
      <c r="N82" s="15"/>
      <c r="P82" s="15"/>
    </row>
    <row r="83" spans="1:16" ht="12.75">
      <c r="A83" s="9"/>
      <c r="B83" s="9"/>
      <c r="C83" s="9"/>
      <c r="D83" s="10"/>
      <c r="E83" s="11"/>
      <c r="F83" s="12"/>
      <c r="G83" s="12"/>
      <c r="H83" s="49"/>
      <c r="I83" s="49"/>
      <c r="J83" s="41"/>
      <c r="K83" s="15"/>
      <c r="L83" s="15"/>
      <c r="M83" s="15"/>
      <c r="N83" s="15"/>
      <c r="P83" s="15"/>
    </row>
    <row r="84" spans="1:16" ht="12.75">
      <c r="A84" s="9"/>
      <c r="B84" s="9"/>
      <c r="C84" s="9"/>
      <c r="D84" s="10"/>
      <c r="E84" s="11"/>
      <c r="F84" s="12"/>
      <c r="G84" s="12"/>
      <c r="H84" s="49"/>
      <c r="I84" s="49"/>
      <c r="J84" s="41"/>
      <c r="K84" s="15"/>
      <c r="L84" s="15"/>
      <c r="M84" s="15"/>
      <c r="N84" s="15"/>
      <c r="P84" s="15"/>
    </row>
    <row r="85" spans="1:16" ht="12.75">
      <c r="A85" s="9"/>
      <c r="B85" s="9"/>
      <c r="C85" s="9"/>
      <c r="D85" s="10"/>
      <c r="E85" s="11"/>
      <c r="F85" s="12"/>
      <c r="G85" s="12"/>
      <c r="H85" s="49"/>
      <c r="I85" s="49"/>
      <c r="J85" s="41"/>
      <c r="K85" s="15"/>
      <c r="L85" s="15"/>
      <c r="M85" s="15"/>
      <c r="N85" s="15"/>
      <c r="P85" s="15"/>
    </row>
    <row r="86" spans="1:16" ht="12.75">
      <c r="A86" s="9"/>
      <c r="B86" s="9"/>
      <c r="C86" s="9"/>
      <c r="D86" s="10"/>
      <c r="E86" s="11"/>
      <c r="F86" s="12"/>
      <c r="G86" s="12"/>
      <c r="H86" s="49"/>
      <c r="I86" s="49"/>
      <c r="J86" s="41"/>
      <c r="K86" s="15"/>
      <c r="L86" s="15"/>
      <c r="M86" s="15"/>
      <c r="N86" s="15"/>
      <c r="P86" s="15"/>
    </row>
    <row r="87" spans="1:16" ht="26.25">
      <c r="A87" s="17"/>
      <c r="B87" s="17"/>
      <c r="C87" s="148" t="s">
        <v>303</v>
      </c>
      <c r="D87" s="141"/>
      <c r="E87" s="141"/>
      <c r="F87" s="141"/>
      <c r="G87" s="141"/>
      <c r="H87" s="49"/>
      <c r="I87" s="49"/>
      <c r="J87" s="41"/>
      <c r="K87" s="15"/>
      <c r="L87" s="15"/>
      <c r="M87" s="15"/>
      <c r="N87" s="15"/>
      <c r="P87" s="15"/>
    </row>
    <row r="88" spans="1:16" ht="12.75">
      <c r="A88" s="9"/>
      <c r="B88" s="9"/>
      <c r="C88" s="9"/>
      <c r="D88" s="10"/>
      <c r="E88" s="11"/>
      <c r="F88" s="12"/>
      <c r="G88" s="12"/>
      <c r="H88" s="49"/>
      <c r="I88" s="49"/>
      <c r="J88" s="41"/>
      <c r="K88" s="15"/>
      <c r="L88" s="15"/>
      <c r="M88" s="15"/>
      <c r="N88" s="15"/>
      <c r="P88" s="15"/>
    </row>
    <row r="89" spans="1:16" ht="86.25" customHeight="1">
      <c r="A89" s="19"/>
      <c r="B89" s="61" t="s">
        <v>304</v>
      </c>
      <c r="C89" s="19"/>
      <c r="D89" s="149" t="s">
        <v>305</v>
      </c>
      <c r="E89" s="141"/>
      <c r="F89" s="22"/>
      <c r="G89" s="22"/>
      <c r="H89" s="24"/>
      <c r="I89" s="24"/>
      <c r="J89" s="25"/>
      <c r="K89" s="32"/>
      <c r="L89" s="62" t="s">
        <v>306</v>
      </c>
      <c r="M89" s="63"/>
      <c r="N89" s="33"/>
      <c r="P89" s="26"/>
    </row>
    <row r="90" spans="1:16" ht="12.75">
      <c r="A90" s="13" t="s">
        <v>2254</v>
      </c>
      <c r="B90" s="10" t="s">
        <v>307</v>
      </c>
      <c r="C90" s="9" t="s">
        <v>308</v>
      </c>
      <c r="D90" s="10"/>
      <c r="E90" s="11"/>
      <c r="F90" s="64" t="s">
        <v>309</v>
      </c>
      <c r="G90" s="12" t="s">
        <v>310</v>
      </c>
      <c r="H90" s="13"/>
      <c r="I90" s="13"/>
      <c r="J90" s="14"/>
      <c r="K90" s="15"/>
      <c r="L90" s="6"/>
      <c r="M90" s="6"/>
      <c r="N90" s="6"/>
      <c r="P90" s="26"/>
    </row>
    <row r="91" spans="1:16" ht="12.75">
      <c r="A91" s="13" t="s">
        <v>2254</v>
      </c>
      <c r="B91" s="10" t="s">
        <v>168</v>
      </c>
      <c r="C91" s="9" t="s">
        <v>308</v>
      </c>
      <c r="D91" s="10" t="s">
        <v>311</v>
      </c>
      <c r="E91" s="11" t="s">
        <v>312</v>
      </c>
      <c r="F91" s="65" t="s">
        <v>313</v>
      </c>
      <c r="G91" s="12" t="s">
        <v>314</v>
      </c>
      <c r="H91" s="13">
        <v>60</v>
      </c>
      <c r="I91" s="13">
        <v>20</v>
      </c>
      <c r="J91" s="14"/>
      <c r="K91" s="15"/>
      <c r="L91" s="6"/>
      <c r="M91" s="6"/>
      <c r="N91" s="66" t="s">
        <v>315</v>
      </c>
      <c r="P91" s="26"/>
    </row>
    <row r="92" spans="1:16" ht="12.75">
      <c r="A92" s="13" t="s">
        <v>2254</v>
      </c>
      <c r="B92" s="10" t="s">
        <v>316</v>
      </c>
      <c r="C92" s="9" t="s">
        <v>308</v>
      </c>
      <c r="D92" s="10" t="s">
        <v>311</v>
      </c>
      <c r="E92" s="11" t="s">
        <v>317</v>
      </c>
      <c r="F92" s="65" t="s">
        <v>318</v>
      </c>
      <c r="G92" s="12" t="s">
        <v>319</v>
      </c>
      <c r="H92" s="13">
        <v>60</v>
      </c>
      <c r="I92" s="13">
        <v>20</v>
      </c>
      <c r="J92" s="14" t="s">
        <v>320</v>
      </c>
      <c r="K92" s="6" t="s">
        <v>321</v>
      </c>
      <c r="L92" s="6"/>
      <c r="M92" s="67" t="s">
        <v>322</v>
      </c>
      <c r="N92" s="68" t="s">
        <v>323</v>
      </c>
      <c r="P92" s="26"/>
    </row>
    <row r="93" spans="1:16" ht="12.75">
      <c r="A93" s="13" t="s">
        <v>2254</v>
      </c>
      <c r="B93" s="10" t="s">
        <v>324</v>
      </c>
      <c r="C93" s="9" t="s">
        <v>308</v>
      </c>
      <c r="D93" s="10"/>
      <c r="E93" s="11"/>
      <c r="F93" s="65" t="s">
        <v>325</v>
      </c>
      <c r="G93" s="12" t="s">
        <v>326</v>
      </c>
      <c r="H93" s="13"/>
      <c r="I93" s="13"/>
      <c r="J93" s="14"/>
      <c r="K93" s="15"/>
      <c r="L93" s="6"/>
      <c r="M93" s="16"/>
      <c r="N93" s="68" t="s">
        <v>327</v>
      </c>
      <c r="P93" s="26"/>
    </row>
    <row r="94" spans="1:16" ht="12.75">
      <c r="A94" s="13" t="s">
        <v>2254</v>
      </c>
      <c r="B94" s="10" t="s">
        <v>324</v>
      </c>
      <c r="C94" s="9" t="s">
        <v>308</v>
      </c>
      <c r="D94" s="10"/>
      <c r="E94" s="11"/>
      <c r="F94" s="65" t="s">
        <v>328</v>
      </c>
      <c r="G94" s="12" t="s">
        <v>329</v>
      </c>
      <c r="H94" s="13"/>
      <c r="I94" s="13"/>
      <c r="J94" s="14"/>
      <c r="K94" s="15"/>
      <c r="L94" s="6"/>
      <c r="M94" s="16"/>
      <c r="N94" s="68" t="s">
        <v>330</v>
      </c>
      <c r="P94" s="26"/>
    </row>
    <row r="95" spans="1:16" ht="12.75">
      <c r="A95" s="13" t="s">
        <v>2254</v>
      </c>
      <c r="B95" s="10" t="s">
        <v>331</v>
      </c>
      <c r="C95" s="9" t="s">
        <v>308</v>
      </c>
      <c r="D95" s="10"/>
      <c r="E95" s="11"/>
      <c r="F95" s="65" t="s">
        <v>332</v>
      </c>
      <c r="G95" s="12" t="s">
        <v>333</v>
      </c>
      <c r="H95" s="13"/>
      <c r="I95" s="13"/>
      <c r="J95" s="41"/>
      <c r="K95" s="15"/>
      <c r="L95" s="6"/>
      <c r="M95" s="6"/>
      <c r="N95" s="66" t="s">
        <v>334</v>
      </c>
      <c r="P95" s="26"/>
    </row>
    <row r="96" spans="1:16" ht="12.75">
      <c r="A96" s="13" t="s">
        <v>2254</v>
      </c>
      <c r="B96" s="10" t="s">
        <v>331</v>
      </c>
      <c r="C96" s="9" t="s">
        <v>308</v>
      </c>
      <c r="D96" s="10"/>
      <c r="E96" s="11"/>
      <c r="F96" s="65" t="s">
        <v>335</v>
      </c>
      <c r="G96" s="69" t="s">
        <v>336</v>
      </c>
      <c r="H96" s="13"/>
      <c r="I96" s="13"/>
      <c r="J96" s="14"/>
      <c r="K96" s="15"/>
      <c r="L96" s="6"/>
      <c r="M96" s="16"/>
      <c r="N96" s="68" t="s">
        <v>337</v>
      </c>
      <c r="P96" s="26"/>
    </row>
    <row r="97" spans="1:16" ht="12.75">
      <c r="A97" s="13" t="s">
        <v>2254</v>
      </c>
      <c r="B97" s="10" t="s">
        <v>338</v>
      </c>
      <c r="C97" s="9" t="s">
        <v>308</v>
      </c>
      <c r="D97" s="10"/>
      <c r="E97" s="11"/>
      <c r="F97" s="65" t="s">
        <v>339</v>
      </c>
      <c r="G97" s="12" t="s">
        <v>340</v>
      </c>
      <c r="H97" s="13"/>
      <c r="I97" s="13"/>
      <c r="J97" s="14" t="s">
        <v>341</v>
      </c>
      <c r="K97" s="6" t="s">
        <v>342</v>
      </c>
      <c r="L97" s="6"/>
      <c r="M97" s="16"/>
      <c r="N97" s="68" t="s">
        <v>343</v>
      </c>
      <c r="P97" s="26"/>
    </row>
    <row r="98" spans="1:16" ht="12.75">
      <c r="A98" s="13" t="s">
        <v>2254</v>
      </c>
      <c r="B98" s="10" t="s">
        <v>331</v>
      </c>
      <c r="C98" s="9" t="s">
        <v>308</v>
      </c>
      <c r="D98" s="10"/>
      <c r="E98" s="11"/>
      <c r="F98" s="65" t="s">
        <v>344</v>
      </c>
      <c r="G98" s="12" t="s">
        <v>345</v>
      </c>
      <c r="H98" s="13"/>
      <c r="I98" s="13"/>
      <c r="J98" s="14"/>
      <c r="K98" s="15"/>
      <c r="L98" s="6"/>
      <c r="M98" s="16"/>
      <c r="N98" s="68" t="s">
        <v>346</v>
      </c>
      <c r="P98" s="26"/>
    </row>
    <row r="99" spans="1:16" ht="12.75">
      <c r="A99" s="13" t="s">
        <v>2254</v>
      </c>
      <c r="B99" s="10" t="s">
        <v>331</v>
      </c>
      <c r="C99" s="9" t="s">
        <v>308</v>
      </c>
      <c r="D99" s="10"/>
      <c r="E99" s="11"/>
      <c r="F99" s="65" t="s">
        <v>347</v>
      </c>
      <c r="G99" s="12" t="s">
        <v>348</v>
      </c>
      <c r="H99" s="13"/>
      <c r="I99" s="13"/>
      <c r="J99" s="14"/>
      <c r="K99" s="15"/>
      <c r="L99" s="6"/>
      <c r="M99" s="16"/>
      <c r="N99" s="68" t="s">
        <v>349</v>
      </c>
      <c r="P99" s="26"/>
    </row>
    <row r="100" spans="1:16" ht="12.75">
      <c r="A100" s="13" t="s">
        <v>2254</v>
      </c>
      <c r="B100" s="10" t="s">
        <v>350</v>
      </c>
      <c r="C100" s="9" t="s">
        <v>308</v>
      </c>
      <c r="D100" s="10"/>
      <c r="E100" s="11"/>
      <c r="F100" s="65" t="s">
        <v>351</v>
      </c>
      <c r="G100" s="12" t="s">
        <v>352</v>
      </c>
      <c r="H100" s="13"/>
      <c r="I100" s="13"/>
      <c r="J100" s="14"/>
      <c r="K100" s="15"/>
      <c r="L100" s="6"/>
      <c r="M100" s="16"/>
      <c r="N100" s="68" t="s">
        <v>353</v>
      </c>
      <c r="P100" s="26"/>
    </row>
    <row r="101" spans="1:16" ht="12.75">
      <c r="A101" s="13" t="s">
        <v>2254</v>
      </c>
      <c r="B101" s="10" t="s">
        <v>316</v>
      </c>
      <c r="C101" s="9" t="s">
        <v>308</v>
      </c>
      <c r="D101" s="10"/>
      <c r="E101" s="11"/>
      <c r="F101" s="65" t="s">
        <v>354</v>
      </c>
      <c r="G101" s="70" t="s">
        <v>355</v>
      </c>
      <c r="H101" s="13"/>
      <c r="I101" s="13"/>
      <c r="J101" s="14"/>
      <c r="K101" s="15"/>
      <c r="L101" s="6"/>
      <c r="M101" s="6"/>
      <c r="N101" s="66" t="s">
        <v>356</v>
      </c>
      <c r="P101" s="26"/>
    </row>
    <row r="102" spans="1:16" ht="12.75">
      <c r="A102" s="13" t="s">
        <v>2254</v>
      </c>
      <c r="B102" s="10" t="s">
        <v>357</v>
      </c>
      <c r="C102" s="9" t="s">
        <v>308</v>
      </c>
      <c r="D102" s="10"/>
      <c r="E102" s="11" t="s">
        <v>358</v>
      </c>
      <c r="F102" s="65" t="s">
        <v>359</v>
      </c>
      <c r="G102" s="12" t="s">
        <v>360</v>
      </c>
      <c r="H102" s="13">
        <v>60</v>
      </c>
      <c r="I102" s="13">
        <v>10</v>
      </c>
      <c r="J102" s="14" t="s">
        <v>361</v>
      </c>
      <c r="K102" s="14" t="s">
        <v>362</v>
      </c>
      <c r="L102" s="6"/>
      <c r="M102" s="16"/>
      <c r="N102" s="68" t="s">
        <v>363</v>
      </c>
      <c r="P102" s="26"/>
    </row>
    <row r="103" spans="1:16" ht="12.75">
      <c r="A103" s="13" t="s">
        <v>2254</v>
      </c>
      <c r="B103" s="10" t="s">
        <v>357</v>
      </c>
      <c r="C103" s="9" t="s">
        <v>308</v>
      </c>
      <c r="D103" s="10"/>
      <c r="E103" s="11" t="s">
        <v>364</v>
      </c>
      <c r="F103" s="65" t="s">
        <v>365</v>
      </c>
      <c r="G103" s="12" t="s">
        <v>366</v>
      </c>
      <c r="H103" s="13"/>
      <c r="I103" s="13"/>
      <c r="J103" s="14"/>
      <c r="K103" s="15"/>
      <c r="L103" s="6"/>
      <c r="M103" s="16"/>
      <c r="N103" s="68" t="s">
        <v>367</v>
      </c>
      <c r="P103" s="26"/>
    </row>
    <row r="104" spans="1:16" ht="12.75">
      <c r="A104" s="13" t="s">
        <v>2254</v>
      </c>
      <c r="B104" s="10" t="s">
        <v>357</v>
      </c>
      <c r="C104" s="9" t="s">
        <v>308</v>
      </c>
      <c r="D104" s="10"/>
      <c r="E104" s="11" t="s">
        <v>368</v>
      </c>
      <c r="F104" s="65" t="s">
        <v>369</v>
      </c>
      <c r="G104" s="12" t="s">
        <v>370</v>
      </c>
      <c r="H104" s="13"/>
      <c r="I104" s="13"/>
      <c r="J104" s="14"/>
      <c r="K104" s="15"/>
      <c r="L104" s="6"/>
      <c r="M104" s="16"/>
      <c r="N104" s="68" t="s">
        <v>371</v>
      </c>
      <c r="P104" s="26"/>
    </row>
    <row r="105" spans="1:16" ht="12.75">
      <c r="A105" s="13" t="s">
        <v>2254</v>
      </c>
      <c r="B105" s="10" t="s">
        <v>357</v>
      </c>
      <c r="C105" s="9" t="s">
        <v>308</v>
      </c>
      <c r="D105" s="10"/>
      <c r="E105" s="11" t="s">
        <v>368</v>
      </c>
      <c r="F105" s="65" t="s">
        <v>372</v>
      </c>
      <c r="G105" s="12" t="s">
        <v>373</v>
      </c>
      <c r="H105" s="13"/>
      <c r="I105" s="13"/>
      <c r="J105" s="41"/>
      <c r="K105" s="15"/>
      <c r="L105" s="6"/>
      <c r="M105" s="16"/>
      <c r="N105" s="68" t="s">
        <v>374</v>
      </c>
      <c r="P105" s="26"/>
    </row>
    <row r="106" spans="1:16" ht="12.75">
      <c r="A106" s="13" t="s">
        <v>2254</v>
      </c>
      <c r="B106" s="10" t="s">
        <v>357</v>
      </c>
      <c r="C106" s="9" t="s">
        <v>308</v>
      </c>
      <c r="D106" s="10"/>
      <c r="E106" s="11" t="s">
        <v>375</v>
      </c>
      <c r="F106" s="65" t="s">
        <v>376</v>
      </c>
      <c r="G106" s="12" t="s">
        <v>377</v>
      </c>
      <c r="H106" s="13"/>
      <c r="I106" s="13"/>
      <c r="J106" s="41"/>
      <c r="K106" s="15"/>
      <c r="L106" s="6"/>
      <c r="M106" s="6"/>
      <c r="N106" s="6"/>
      <c r="P106" s="26"/>
    </row>
    <row r="107" spans="1:16" ht="12.75">
      <c r="A107" s="13" t="s">
        <v>2254</v>
      </c>
      <c r="B107" s="10" t="s">
        <v>357</v>
      </c>
      <c r="C107" s="9" t="s">
        <v>308</v>
      </c>
      <c r="D107" s="10"/>
      <c r="E107" s="11" t="s">
        <v>378</v>
      </c>
      <c r="F107" s="65" t="s">
        <v>379</v>
      </c>
      <c r="G107" s="12" t="s">
        <v>380</v>
      </c>
      <c r="H107" s="13"/>
      <c r="I107" s="13"/>
      <c r="J107" s="14"/>
      <c r="K107" s="15"/>
      <c r="L107" s="6"/>
      <c r="M107" s="6"/>
      <c r="N107" s="66" t="s">
        <v>381</v>
      </c>
      <c r="P107" s="26"/>
    </row>
    <row r="108" spans="1:16" ht="12.75">
      <c r="A108" s="13" t="s">
        <v>2254</v>
      </c>
      <c r="B108" s="10" t="s">
        <v>357</v>
      </c>
      <c r="C108" s="9" t="s">
        <v>308</v>
      </c>
      <c r="D108" s="10"/>
      <c r="E108" s="11" t="s">
        <v>70</v>
      </c>
      <c r="F108" s="65" t="s">
        <v>382</v>
      </c>
      <c r="G108" s="69" t="s">
        <v>383</v>
      </c>
      <c r="H108" s="13"/>
      <c r="I108" s="13"/>
      <c r="J108" s="14"/>
      <c r="K108" s="15"/>
      <c r="L108" s="6"/>
      <c r="M108" s="16"/>
      <c r="N108" s="68" t="s">
        <v>384</v>
      </c>
      <c r="P108" s="26"/>
    </row>
    <row r="109" spans="1:16" ht="12.75">
      <c r="A109" s="13" t="s">
        <v>2254</v>
      </c>
      <c r="B109" s="10" t="s">
        <v>324</v>
      </c>
      <c r="C109" s="9" t="s">
        <v>308</v>
      </c>
      <c r="D109" s="10"/>
      <c r="E109" s="11" t="s">
        <v>70</v>
      </c>
      <c r="F109" s="65" t="s">
        <v>385</v>
      </c>
      <c r="G109" s="69" t="s">
        <v>386</v>
      </c>
      <c r="H109" s="13"/>
      <c r="I109" s="13"/>
      <c r="J109" s="14"/>
      <c r="K109" s="15"/>
      <c r="L109" s="6"/>
      <c r="M109" s="68" t="s">
        <v>387</v>
      </c>
      <c r="N109" s="68" t="s">
        <v>388</v>
      </c>
      <c r="P109" s="26"/>
    </row>
    <row r="110" spans="1:16" ht="12.75">
      <c r="A110" s="13" t="s">
        <v>2254</v>
      </c>
      <c r="B110" s="10" t="s">
        <v>357</v>
      </c>
      <c r="C110" s="9" t="s">
        <v>308</v>
      </c>
      <c r="D110" s="10" t="s">
        <v>311</v>
      </c>
      <c r="E110" s="11" t="s">
        <v>389</v>
      </c>
      <c r="F110" s="65" t="s">
        <v>390</v>
      </c>
      <c r="G110" s="69" t="s">
        <v>391</v>
      </c>
      <c r="H110" s="13">
        <v>60</v>
      </c>
      <c r="I110" s="13"/>
      <c r="J110" s="14" t="s">
        <v>392</v>
      </c>
      <c r="K110" s="15"/>
      <c r="L110" s="6" t="s">
        <v>393</v>
      </c>
      <c r="M110" s="68" t="s">
        <v>394</v>
      </c>
      <c r="N110" s="16"/>
      <c r="P110" s="26"/>
    </row>
    <row r="111" spans="1:16" ht="12.75">
      <c r="A111" s="13" t="s">
        <v>2254</v>
      </c>
      <c r="B111" s="10" t="s">
        <v>149</v>
      </c>
      <c r="C111" s="9" t="s">
        <v>308</v>
      </c>
      <c r="D111" s="10" t="s">
        <v>311</v>
      </c>
      <c r="E111" s="11" t="s">
        <v>395</v>
      </c>
      <c r="F111" s="65" t="s">
        <v>396</v>
      </c>
      <c r="G111" s="12" t="s">
        <v>397</v>
      </c>
      <c r="H111" s="13">
        <v>60</v>
      </c>
      <c r="I111" s="13">
        <v>10</v>
      </c>
      <c r="J111" s="14" t="s">
        <v>398</v>
      </c>
      <c r="K111" s="15"/>
      <c r="L111" s="6" t="s">
        <v>149</v>
      </c>
      <c r="M111" s="66" t="s">
        <v>399</v>
      </c>
      <c r="N111" s="68" t="s">
        <v>400</v>
      </c>
      <c r="P111" s="26"/>
    </row>
    <row r="112" spans="1:16" ht="12.75">
      <c r="A112" s="13" t="s">
        <v>2254</v>
      </c>
      <c r="B112" s="10" t="s">
        <v>149</v>
      </c>
      <c r="C112" s="9" t="s">
        <v>308</v>
      </c>
      <c r="D112" s="10"/>
      <c r="E112" s="11"/>
      <c r="F112" s="65" t="s">
        <v>401</v>
      </c>
      <c r="G112" s="69" t="s">
        <v>402</v>
      </c>
      <c r="H112" s="13"/>
      <c r="I112" s="13"/>
      <c r="J112" s="14"/>
      <c r="K112" s="15"/>
      <c r="L112" s="6"/>
      <c r="M112" s="16"/>
      <c r="N112" s="68" t="s">
        <v>403</v>
      </c>
      <c r="P112" s="26"/>
    </row>
    <row r="113" spans="1:16" ht="12.75">
      <c r="A113" s="13" t="s">
        <v>2254</v>
      </c>
      <c r="B113" s="10" t="s">
        <v>316</v>
      </c>
      <c r="C113" s="9" t="s">
        <v>308</v>
      </c>
      <c r="D113" s="10"/>
      <c r="E113" s="11"/>
      <c r="F113" s="65" t="s">
        <v>404</v>
      </c>
      <c r="G113" s="69" t="s">
        <v>405</v>
      </c>
      <c r="H113" s="13"/>
      <c r="I113" s="13"/>
      <c r="J113" s="14"/>
      <c r="K113" s="15"/>
      <c r="L113" s="6"/>
      <c r="M113" s="16"/>
      <c r="N113" s="68" t="s">
        <v>406</v>
      </c>
      <c r="P113" s="26"/>
    </row>
    <row r="114" spans="1:16" ht="12.75">
      <c r="A114" s="13" t="s">
        <v>2254</v>
      </c>
      <c r="B114" s="10" t="s">
        <v>316</v>
      </c>
      <c r="C114" s="9" t="s">
        <v>308</v>
      </c>
      <c r="D114" s="10"/>
      <c r="E114" s="11" t="s">
        <v>407</v>
      </c>
      <c r="F114" s="65" t="s">
        <v>408</v>
      </c>
      <c r="G114" s="69" t="s">
        <v>409</v>
      </c>
      <c r="H114" s="13">
        <v>60</v>
      </c>
      <c r="I114" s="13">
        <v>30</v>
      </c>
      <c r="J114" s="14" t="s">
        <v>410</v>
      </c>
      <c r="K114" s="6" t="s">
        <v>411</v>
      </c>
      <c r="L114" s="6" t="s">
        <v>149</v>
      </c>
      <c r="M114" s="16"/>
      <c r="N114" s="68" t="s">
        <v>412</v>
      </c>
      <c r="P114" s="26"/>
    </row>
    <row r="115" spans="1:16" ht="12.75">
      <c r="A115" s="13" t="s">
        <v>2254</v>
      </c>
      <c r="B115" s="10" t="s">
        <v>413</v>
      </c>
      <c r="C115" s="9" t="s">
        <v>308</v>
      </c>
      <c r="D115" s="10"/>
      <c r="E115" s="11" t="s">
        <v>407</v>
      </c>
      <c r="F115" s="64" t="s">
        <v>414</v>
      </c>
      <c r="G115" s="69" t="s">
        <v>415</v>
      </c>
      <c r="H115" s="13">
        <v>60</v>
      </c>
      <c r="I115" s="13">
        <v>20</v>
      </c>
      <c r="J115" s="14" t="s">
        <v>416</v>
      </c>
      <c r="K115" s="15"/>
      <c r="L115" s="6" t="s">
        <v>417</v>
      </c>
      <c r="M115" s="16"/>
      <c r="N115" s="68" t="s">
        <v>418</v>
      </c>
      <c r="P115" s="26"/>
    </row>
    <row r="116" spans="1:16" ht="12.75">
      <c r="A116" s="13" t="s">
        <v>2254</v>
      </c>
      <c r="B116" s="10" t="s">
        <v>149</v>
      </c>
      <c r="C116" s="9" t="s">
        <v>308</v>
      </c>
      <c r="D116" s="10"/>
      <c r="E116" s="11"/>
      <c r="F116" s="65" t="s">
        <v>419</v>
      </c>
      <c r="G116" s="69" t="s">
        <v>420</v>
      </c>
      <c r="H116" s="13"/>
      <c r="I116" s="13"/>
      <c r="J116" s="14"/>
      <c r="K116" s="15"/>
      <c r="L116" s="6"/>
      <c r="M116" s="16"/>
      <c r="N116" s="68" t="s">
        <v>421</v>
      </c>
      <c r="P116" s="26"/>
    </row>
    <row r="117" spans="1:16" ht="12.75">
      <c r="A117" s="13" t="s">
        <v>2254</v>
      </c>
      <c r="B117" s="10" t="s">
        <v>324</v>
      </c>
      <c r="C117" s="9" t="s">
        <v>308</v>
      </c>
      <c r="D117" s="10"/>
      <c r="E117" s="11"/>
      <c r="F117" s="65" t="s">
        <v>422</v>
      </c>
      <c r="G117" s="69" t="s">
        <v>423</v>
      </c>
      <c r="H117" s="13"/>
      <c r="I117" s="13"/>
      <c r="J117" s="14"/>
      <c r="K117" s="15"/>
      <c r="L117" s="6"/>
      <c r="M117" s="16"/>
      <c r="N117" s="68" t="s">
        <v>424</v>
      </c>
      <c r="P117" s="26"/>
    </row>
    <row r="118" spans="1:16" ht="12.75">
      <c r="A118" s="13" t="s">
        <v>2254</v>
      </c>
      <c r="B118" s="10" t="s">
        <v>324</v>
      </c>
      <c r="C118" s="9" t="s">
        <v>308</v>
      </c>
      <c r="D118" s="10"/>
      <c r="E118" s="11"/>
      <c r="F118" s="65" t="s">
        <v>425</v>
      </c>
      <c r="G118" s="69" t="s">
        <v>426</v>
      </c>
      <c r="H118" s="13"/>
      <c r="I118" s="13"/>
      <c r="J118" s="14"/>
      <c r="K118" s="15"/>
      <c r="L118" s="6"/>
      <c r="M118" s="16"/>
      <c r="N118" s="68" t="s">
        <v>427</v>
      </c>
      <c r="P118" s="26"/>
    </row>
    <row r="119" spans="1:16" ht="12.75">
      <c r="A119" s="13" t="s">
        <v>2254</v>
      </c>
      <c r="B119" s="10" t="s">
        <v>324</v>
      </c>
      <c r="C119" s="9" t="s">
        <v>308</v>
      </c>
      <c r="D119" s="10"/>
      <c r="E119" s="11"/>
      <c r="F119" s="65" t="s">
        <v>428</v>
      </c>
      <c r="G119" s="69" t="s">
        <v>429</v>
      </c>
      <c r="H119" s="13"/>
      <c r="I119" s="13"/>
      <c r="J119" s="14"/>
      <c r="K119" s="15"/>
      <c r="L119" s="6"/>
      <c r="M119" s="16"/>
      <c r="N119" s="68" t="s">
        <v>430</v>
      </c>
      <c r="P119" s="26"/>
    </row>
    <row r="120" spans="1:16" ht="12.75">
      <c r="A120" s="13" t="s">
        <v>2254</v>
      </c>
      <c r="B120" s="10" t="s">
        <v>149</v>
      </c>
      <c r="C120" s="9" t="s">
        <v>308</v>
      </c>
      <c r="D120" s="10" t="s">
        <v>311</v>
      </c>
      <c r="E120" s="11" t="s">
        <v>431</v>
      </c>
      <c r="F120" s="65" t="s">
        <v>432</v>
      </c>
      <c r="G120" s="69" t="s">
        <v>433</v>
      </c>
      <c r="H120" s="13">
        <v>60</v>
      </c>
      <c r="I120" s="13"/>
      <c r="J120" s="14"/>
      <c r="K120" s="15"/>
      <c r="L120" s="6"/>
      <c r="M120" s="16"/>
      <c r="N120" s="68" t="s">
        <v>434</v>
      </c>
      <c r="P120" s="26"/>
    </row>
    <row r="121" spans="1:16" ht="12.75">
      <c r="A121" s="13" t="s">
        <v>2254</v>
      </c>
      <c r="B121" s="10" t="s">
        <v>149</v>
      </c>
      <c r="C121" s="9" t="s">
        <v>308</v>
      </c>
      <c r="D121" s="10" t="s">
        <v>311</v>
      </c>
      <c r="E121" s="11" t="s">
        <v>431</v>
      </c>
      <c r="F121" s="65" t="s">
        <v>435</v>
      </c>
      <c r="G121" s="12" t="s">
        <v>436</v>
      </c>
      <c r="H121" s="13">
        <v>60</v>
      </c>
      <c r="I121" s="13">
        <v>30</v>
      </c>
      <c r="J121" s="14" t="s">
        <v>398</v>
      </c>
      <c r="K121" s="6"/>
      <c r="L121" s="6"/>
      <c r="M121" s="68" t="s">
        <v>437</v>
      </c>
      <c r="N121" s="15"/>
      <c r="P121" s="26"/>
    </row>
    <row r="122" spans="1:16" ht="12.75">
      <c r="A122" s="13" t="s">
        <v>2254</v>
      </c>
      <c r="B122" s="10" t="s">
        <v>438</v>
      </c>
      <c r="C122" s="9" t="s">
        <v>308</v>
      </c>
      <c r="D122" s="10"/>
      <c r="E122" s="11" t="s">
        <v>439</v>
      </c>
      <c r="F122" s="65" t="s">
        <v>440</v>
      </c>
      <c r="G122" s="12" t="s">
        <v>441</v>
      </c>
      <c r="H122" s="13">
        <v>60</v>
      </c>
      <c r="I122" s="13">
        <v>10</v>
      </c>
      <c r="J122" s="14"/>
      <c r="K122" s="6"/>
      <c r="L122" s="6"/>
      <c r="M122" s="15"/>
      <c r="N122" s="15"/>
      <c r="P122" s="26"/>
    </row>
    <row r="123" spans="1:16" ht="12.75">
      <c r="A123" s="13" t="s">
        <v>2254</v>
      </c>
      <c r="B123" s="10" t="s">
        <v>442</v>
      </c>
      <c r="C123" s="13" t="s">
        <v>308</v>
      </c>
      <c r="D123" s="10"/>
      <c r="E123" s="11"/>
      <c r="F123" s="65" t="s">
        <v>443</v>
      </c>
      <c r="G123" s="12" t="s">
        <v>444</v>
      </c>
      <c r="H123" s="13">
        <v>60</v>
      </c>
      <c r="I123" s="49"/>
      <c r="J123" s="14" t="s">
        <v>445</v>
      </c>
      <c r="K123" s="6" t="s">
        <v>446</v>
      </c>
      <c r="L123" s="6" t="s">
        <v>137</v>
      </c>
      <c r="M123" s="15"/>
      <c r="N123" s="15"/>
      <c r="P123" s="6" t="s">
        <v>137</v>
      </c>
    </row>
    <row r="124" spans="1:16" ht="12.75">
      <c r="A124" s="13" t="s">
        <v>2254</v>
      </c>
      <c r="B124" s="10" t="s">
        <v>442</v>
      </c>
      <c r="C124" s="13" t="s">
        <v>308</v>
      </c>
      <c r="D124" s="10"/>
      <c r="E124" s="11"/>
      <c r="F124" s="65" t="s">
        <v>447</v>
      </c>
      <c r="G124" s="12" t="s">
        <v>448</v>
      </c>
      <c r="H124" s="13">
        <v>60</v>
      </c>
      <c r="I124" s="49"/>
      <c r="J124" s="14" t="s">
        <v>449</v>
      </c>
      <c r="K124" s="6" t="s">
        <v>450</v>
      </c>
      <c r="L124" s="6" t="s">
        <v>141</v>
      </c>
      <c r="M124" s="15"/>
      <c r="N124" s="15"/>
      <c r="P124" s="6" t="s">
        <v>141</v>
      </c>
    </row>
    <row r="125" spans="1:16" ht="12.75">
      <c r="A125" s="13" t="s">
        <v>2254</v>
      </c>
      <c r="B125" s="10" t="s">
        <v>442</v>
      </c>
      <c r="C125" s="13" t="s">
        <v>308</v>
      </c>
      <c r="D125" s="10"/>
      <c r="E125" s="11" t="s">
        <v>451</v>
      </c>
      <c r="F125" s="65" t="s">
        <v>452</v>
      </c>
      <c r="G125" s="12" t="s">
        <v>453</v>
      </c>
      <c r="H125" s="13">
        <v>60</v>
      </c>
      <c r="I125" s="49"/>
      <c r="J125" s="14" t="s">
        <v>454</v>
      </c>
      <c r="K125" s="6" t="s">
        <v>455</v>
      </c>
      <c r="L125" s="6" t="s">
        <v>141</v>
      </c>
      <c r="M125" s="16"/>
      <c r="N125" s="68" t="s">
        <v>456</v>
      </c>
      <c r="P125" s="6" t="s">
        <v>141</v>
      </c>
    </row>
    <row r="126" spans="1:16" ht="12.75">
      <c r="A126" s="13" t="s">
        <v>2254</v>
      </c>
      <c r="B126" s="10" t="s">
        <v>442</v>
      </c>
      <c r="C126" s="13" t="s">
        <v>308</v>
      </c>
      <c r="D126" s="10"/>
      <c r="E126" s="11"/>
      <c r="F126" s="65" t="s">
        <v>457</v>
      </c>
      <c r="G126" s="12" t="s">
        <v>458</v>
      </c>
      <c r="H126" s="13">
        <v>60</v>
      </c>
      <c r="I126" s="49"/>
      <c r="J126" s="14" t="s">
        <v>459</v>
      </c>
      <c r="K126" s="6" t="s">
        <v>460</v>
      </c>
      <c r="L126" s="6" t="s">
        <v>141</v>
      </c>
      <c r="M126" s="15"/>
      <c r="N126" s="15"/>
      <c r="P126" s="6" t="s">
        <v>141</v>
      </c>
    </row>
    <row r="127" spans="1:16" ht="12.75">
      <c r="A127" s="13" t="s">
        <v>2254</v>
      </c>
      <c r="B127" s="10" t="s">
        <v>442</v>
      </c>
      <c r="C127" s="13" t="s">
        <v>308</v>
      </c>
      <c r="D127" s="10"/>
      <c r="E127" s="11"/>
      <c r="F127" s="65" t="s">
        <v>461</v>
      </c>
      <c r="G127" s="12" t="s">
        <v>462</v>
      </c>
      <c r="H127" s="13">
        <v>60</v>
      </c>
      <c r="I127" s="49"/>
      <c r="J127" s="14" t="s">
        <v>463</v>
      </c>
      <c r="K127" s="6" t="s">
        <v>464</v>
      </c>
      <c r="L127" s="6" t="s">
        <v>141</v>
      </c>
      <c r="M127" s="15"/>
      <c r="N127" s="15"/>
      <c r="P127" s="6" t="s">
        <v>141</v>
      </c>
    </row>
    <row r="128" spans="1:16" ht="12.75">
      <c r="A128" s="13" t="s">
        <v>2254</v>
      </c>
      <c r="B128" s="10" t="s">
        <v>442</v>
      </c>
      <c r="C128" s="13" t="s">
        <v>308</v>
      </c>
      <c r="D128" s="10"/>
      <c r="E128" s="11"/>
      <c r="F128" s="65" t="s">
        <v>465</v>
      </c>
      <c r="G128" s="12" t="s">
        <v>466</v>
      </c>
      <c r="H128" s="13">
        <v>60</v>
      </c>
      <c r="I128" s="49"/>
      <c r="J128" s="14" t="s">
        <v>467</v>
      </c>
      <c r="K128" s="6" t="s">
        <v>468</v>
      </c>
      <c r="L128" s="6" t="s">
        <v>469</v>
      </c>
      <c r="M128" s="15"/>
      <c r="N128" s="15"/>
      <c r="P128" s="6" t="s">
        <v>469</v>
      </c>
    </row>
    <row r="129" spans="1:16" ht="12.75">
      <c r="A129" s="13" t="s">
        <v>2254</v>
      </c>
      <c r="B129" s="10" t="s">
        <v>442</v>
      </c>
      <c r="C129" s="13" t="s">
        <v>308</v>
      </c>
      <c r="D129" s="10"/>
      <c r="E129" s="11" t="s">
        <v>470</v>
      </c>
      <c r="F129" s="65" t="s">
        <v>471</v>
      </c>
      <c r="G129" s="12" t="s">
        <v>472</v>
      </c>
      <c r="H129" s="13">
        <v>60</v>
      </c>
      <c r="I129" s="13">
        <v>30</v>
      </c>
      <c r="J129" s="14"/>
      <c r="K129" s="6"/>
      <c r="L129" s="6" t="s">
        <v>221</v>
      </c>
      <c r="M129" s="16"/>
      <c r="N129" s="68" t="s">
        <v>473</v>
      </c>
      <c r="P129" s="6"/>
    </row>
    <row r="130" spans="1:16" ht="12.75">
      <c r="A130" s="13" t="s">
        <v>2254</v>
      </c>
      <c r="B130" s="10" t="s">
        <v>149</v>
      </c>
      <c r="C130" s="13" t="s">
        <v>308</v>
      </c>
      <c r="D130" s="10"/>
      <c r="E130" s="11" t="s">
        <v>108</v>
      </c>
      <c r="F130" s="65" t="s">
        <v>474</v>
      </c>
      <c r="G130" s="12" t="s">
        <v>475</v>
      </c>
      <c r="H130" s="13">
        <v>60</v>
      </c>
      <c r="I130" s="13"/>
      <c r="J130" s="14" t="s">
        <v>476</v>
      </c>
      <c r="K130" s="6" t="s">
        <v>112</v>
      </c>
      <c r="L130" s="15"/>
      <c r="M130" s="68" t="s">
        <v>477</v>
      </c>
      <c r="N130" s="15"/>
      <c r="P130" s="15"/>
    </row>
    <row r="131" spans="1:16" ht="12.75">
      <c r="A131" s="13" t="s">
        <v>2254</v>
      </c>
      <c r="B131" s="10" t="s">
        <v>149</v>
      </c>
      <c r="C131" s="13" t="s">
        <v>308</v>
      </c>
      <c r="D131" s="10" t="s">
        <v>311</v>
      </c>
      <c r="E131" s="11" t="s">
        <v>478</v>
      </c>
      <c r="F131" s="65" t="s">
        <v>479</v>
      </c>
      <c r="G131" s="12" t="s">
        <v>480</v>
      </c>
      <c r="H131" s="13">
        <v>60</v>
      </c>
      <c r="I131" s="49"/>
      <c r="J131" s="41"/>
      <c r="K131" s="15"/>
      <c r="L131" s="15"/>
      <c r="M131" s="15"/>
      <c r="N131" s="15"/>
      <c r="P131" s="15"/>
    </row>
    <row r="132" spans="1:16" ht="12.75">
      <c r="A132" s="13" t="s">
        <v>2254</v>
      </c>
      <c r="B132" s="10" t="s">
        <v>316</v>
      </c>
      <c r="C132" s="13" t="s">
        <v>308</v>
      </c>
      <c r="D132" s="10" t="s">
        <v>311</v>
      </c>
      <c r="E132" s="11" t="s">
        <v>481</v>
      </c>
      <c r="F132" s="65" t="s">
        <v>482</v>
      </c>
      <c r="G132" s="12" t="s">
        <v>483</v>
      </c>
      <c r="H132" s="13">
        <v>60</v>
      </c>
      <c r="I132" s="49"/>
      <c r="J132" s="41"/>
      <c r="K132" s="15"/>
      <c r="L132" s="15"/>
      <c r="M132" s="68" t="s">
        <v>399</v>
      </c>
      <c r="N132" s="15"/>
      <c r="P132" s="15"/>
    </row>
    <row r="133" spans="1:16" ht="12.75">
      <c r="A133" s="13" t="s">
        <v>2254</v>
      </c>
      <c r="B133" s="10" t="s">
        <v>149</v>
      </c>
      <c r="C133" s="13" t="s">
        <v>308</v>
      </c>
      <c r="D133" s="10" t="s">
        <v>311</v>
      </c>
      <c r="E133" s="11" t="s">
        <v>431</v>
      </c>
      <c r="F133" s="65" t="s">
        <v>484</v>
      </c>
      <c r="G133" s="12" t="s">
        <v>485</v>
      </c>
      <c r="H133" s="13">
        <v>60</v>
      </c>
      <c r="I133" s="49"/>
      <c r="J133" s="41"/>
      <c r="K133" s="15"/>
      <c r="L133" s="15"/>
      <c r="M133" s="15"/>
      <c r="N133" s="15"/>
      <c r="P133" s="15"/>
    </row>
    <row r="134" spans="1:16" ht="12.75">
      <c r="A134" s="13" t="s">
        <v>2254</v>
      </c>
      <c r="B134" s="10" t="s">
        <v>168</v>
      </c>
      <c r="C134" s="13" t="s">
        <v>308</v>
      </c>
      <c r="D134" s="10" t="s">
        <v>311</v>
      </c>
      <c r="E134" s="11" t="s">
        <v>486</v>
      </c>
      <c r="F134" s="65" t="s">
        <v>487</v>
      </c>
      <c r="G134" s="12" t="s">
        <v>488</v>
      </c>
      <c r="H134" s="13">
        <v>60</v>
      </c>
      <c r="I134" s="13">
        <v>40</v>
      </c>
      <c r="J134" s="41"/>
      <c r="K134" s="15"/>
      <c r="L134" s="15"/>
      <c r="M134" s="68" t="s">
        <v>489</v>
      </c>
      <c r="N134" s="15"/>
      <c r="P134" s="15"/>
    </row>
    <row r="135" spans="1:16" ht="12.75">
      <c r="A135" s="13" t="s">
        <v>2254</v>
      </c>
      <c r="B135" s="10" t="s">
        <v>149</v>
      </c>
      <c r="C135" s="13" t="s">
        <v>490</v>
      </c>
      <c r="D135" s="10" t="s">
        <v>491</v>
      </c>
      <c r="E135" s="11" t="s">
        <v>492</v>
      </c>
      <c r="F135" s="65" t="s">
        <v>493</v>
      </c>
      <c r="G135" s="71" t="s">
        <v>402</v>
      </c>
      <c r="H135" s="13">
        <v>60</v>
      </c>
      <c r="I135" s="13">
        <v>40</v>
      </c>
      <c r="J135" s="41"/>
      <c r="K135" s="15"/>
      <c r="L135" s="15"/>
      <c r="M135" s="68" t="s">
        <v>494</v>
      </c>
      <c r="N135" s="15"/>
      <c r="P135" s="15"/>
    </row>
    <row r="136" spans="1:16" ht="12.75">
      <c r="A136" s="13" t="s">
        <v>2254</v>
      </c>
      <c r="E136" s="60"/>
      <c r="J136" s="41"/>
      <c r="K136" s="15"/>
      <c r="L136" s="15"/>
      <c r="M136" s="15"/>
      <c r="N136" s="15"/>
      <c r="P136" s="15"/>
    </row>
    <row r="137" spans="1:16" ht="12.75">
      <c r="A137" s="13" t="s">
        <v>2254</v>
      </c>
      <c r="D137" s="39"/>
      <c r="E137" s="40"/>
      <c r="H137" s="49"/>
      <c r="I137" s="49"/>
      <c r="J137" s="41"/>
      <c r="K137" s="15"/>
      <c r="L137" s="15"/>
      <c r="M137" s="15"/>
      <c r="N137" s="15"/>
      <c r="P137" s="15"/>
    </row>
    <row r="138" spans="1:16" ht="12.75">
      <c r="A138" s="13" t="s">
        <v>2254</v>
      </c>
      <c r="B138" s="49"/>
      <c r="C138" s="49"/>
      <c r="D138" s="39"/>
      <c r="E138" s="40"/>
      <c r="H138" s="49"/>
      <c r="I138" s="49"/>
      <c r="J138" s="41"/>
      <c r="K138" s="15"/>
      <c r="L138" s="15"/>
      <c r="M138" s="15"/>
      <c r="N138" s="15"/>
      <c r="P138" s="15"/>
    </row>
    <row r="139" spans="1:16" ht="12.75">
      <c r="A139" s="13" t="s">
        <v>2254</v>
      </c>
      <c r="B139" s="49"/>
      <c r="C139" s="49"/>
      <c r="D139" s="39"/>
      <c r="E139" s="40"/>
      <c r="H139" s="49"/>
      <c r="I139" s="49"/>
      <c r="J139" s="41"/>
      <c r="K139" s="15"/>
      <c r="L139" s="15"/>
      <c r="M139" s="15"/>
      <c r="N139" s="15"/>
      <c r="P139" s="15"/>
    </row>
    <row r="140" spans="1:16" ht="12.75">
      <c r="A140" s="13" t="s">
        <v>2254</v>
      </c>
      <c r="B140" s="49"/>
      <c r="C140" s="49"/>
      <c r="D140" s="39"/>
      <c r="E140" s="40"/>
      <c r="H140" s="49"/>
      <c r="I140" s="49"/>
      <c r="J140" s="41"/>
      <c r="K140" s="15"/>
      <c r="L140" s="15"/>
      <c r="M140" s="15"/>
      <c r="N140" s="15"/>
      <c r="P140" s="15"/>
    </row>
    <row r="141" spans="1:16" ht="12.75">
      <c r="A141" s="13" t="s">
        <v>2254</v>
      </c>
      <c r="B141" s="49"/>
      <c r="C141" s="49"/>
      <c r="D141" s="39"/>
      <c r="E141" s="40"/>
      <c r="H141" s="49"/>
      <c r="I141" s="49"/>
      <c r="J141" s="41"/>
      <c r="K141" s="15"/>
      <c r="L141" s="15"/>
      <c r="M141" s="15"/>
      <c r="N141" s="15"/>
      <c r="P141" s="15"/>
    </row>
    <row r="142" spans="1:16" ht="12.75">
      <c r="A142" s="13" t="s">
        <v>2254</v>
      </c>
      <c r="B142" s="49"/>
      <c r="C142" s="49"/>
      <c r="D142" s="39"/>
      <c r="E142" s="40"/>
      <c r="H142" s="49"/>
      <c r="I142" s="49"/>
      <c r="J142" s="41"/>
      <c r="K142" s="15"/>
      <c r="L142" s="15"/>
      <c r="M142" s="15"/>
      <c r="N142" s="15"/>
      <c r="P142" s="15"/>
    </row>
    <row r="143" spans="1:16" ht="12.75">
      <c r="A143" s="13" t="s">
        <v>2254</v>
      </c>
      <c r="B143" s="49"/>
      <c r="C143" s="49"/>
      <c r="D143" s="39"/>
      <c r="E143" s="40"/>
      <c r="H143" s="49"/>
      <c r="I143" s="49"/>
      <c r="J143" s="41"/>
      <c r="K143" s="15"/>
      <c r="L143" s="15"/>
      <c r="M143" s="15"/>
      <c r="N143" s="15"/>
      <c r="P143" s="15"/>
    </row>
    <row r="144" spans="1:16" ht="12.75">
      <c r="A144" s="13" t="s">
        <v>2254</v>
      </c>
      <c r="B144" s="49"/>
      <c r="C144" s="49"/>
      <c r="D144" s="39"/>
      <c r="E144" s="40"/>
      <c r="H144" s="49"/>
      <c r="I144" s="49"/>
      <c r="J144" s="41"/>
      <c r="K144" s="15"/>
      <c r="L144" s="15"/>
      <c r="M144" s="15"/>
      <c r="N144" s="15"/>
      <c r="P144" s="15"/>
    </row>
    <row r="145" spans="1:16" ht="12.75">
      <c r="A145" s="13" t="s">
        <v>2254</v>
      </c>
      <c r="B145" s="49"/>
      <c r="C145" s="49"/>
      <c r="D145" s="39"/>
      <c r="E145" s="40"/>
      <c r="H145" s="49"/>
      <c r="I145" s="49"/>
      <c r="J145" s="41"/>
      <c r="K145" s="15"/>
      <c r="L145" s="15"/>
      <c r="M145" s="15"/>
      <c r="N145" s="15"/>
      <c r="P145" s="15"/>
    </row>
    <row r="146" spans="1:16" ht="12.75">
      <c r="A146" s="13" t="s">
        <v>2254</v>
      </c>
      <c r="B146" s="49"/>
      <c r="C146" s="49"/>
      <c r="D146" s="39"/>
      <c r="E146" s="40"/>
      <c r="H146" s="49"/>
      <c r="I146" s="49"/>
      <c r="J146" s="41"/>
      <c r="K146" s="15"/>
      <c r="L146" s="15"/>
      <c r="M146" s="15"/>
      <c r="N146" s="15"/>
      <c r="P146" s="15"/>
    </row>
    <row r="147" spans="1:16" ht="12.75">
      <c r="A147" s="13" t="s">
        <v>2254</v>
      </c>
      <c r="B147" s="49"/>
      <c r="C147" s="49"/>
      <c r="D147" s="39"/>
      <c r="E147" s="40"/>
      <c r="H147" s="49"/>
      <c r="I147" s="49"/>
      <c r="J147" s="41"/>
      <c r="K147" s="15"/>
      <c r="L147" s="15"/>
      <c r="M147" s="15"/>
      <c r="N147" s="15"/>
      <c r="P147" s="15"/>
    </row>
    <row r="148" spans="1:16" ht="12.75">
      <c r="A148" s="13" t="s">
        <v>2254</v>
      </c>
      <c r="B148" s="49"/>
      <c r="C148" s="49"/>
      <c r="D148" s="39"/>
      <c r="E148" s="40"/>
      <c r="H148" s="49"/>
      <c r="I148" s="49"/>
      <c r="J148" s="41"/>
      <c r="K148" s="15"/>
      <c r="L148" s="15"/>
      <c r="M148" s="15"/>
      <c r="N148" s="15"/>
      <c r="P148" s="15"/>
    </row>
    <row r="149" spans="1:16" ht="12.75">
      <c r="A149" s="13" t="s">
        <v>2254</v>
      </c>
      <c r="B149" s="49"/>
      <c r="C149" s="49"/>
      <c r="D149" s="39"/>
      <c r="E149" s="40"/>
      <c r="H149" s="49"/>
      <c r="I149" s="49"/>
      <c r="J149" s="41"/>
      <c r="K149" s="15"/>
      <c r="L149" s="15"/>
      <c r="M149" s="15"/>
      <c r="N149" s="15"/>
      <c r="P149" s="15"/>
    </row>
    <row r="150" spans="1:16" ht="12.75">
      <c r="A150" s="13" t="s">
        <v>2254</v>
      </c>
      <c r="B150" s="49"/>
      <c r="C150" s="49"/>
      <c r="D150" s="39"/>
      <c r="E150" s="40"/>
      <c r="H150" s="49"/>
      <c r="I150" s="49"/>
      <c r="J150" s="41"/>
      <c r="K150" s="15"/>
      <c r="L150" s="15"/>
      <c r="M150" s="15"/>
      <c r="N150" s="15"/>
      <c r="P150" s="15"/>
    </row>
    <row r="151" spans="1:16" ht="12.75">
      <c r="A151" s="13" t="s">
        <v>2254</v>
      </c>
      <c r="B151" s="49"/>
      <c r="C151" s="49"/>
      <c r="D151" s="39"/>
      <c r="E151" s="40"/>
      <c r="H151" s="49"/>
      <c r="I151" s="49"/>
      <c r="J151" s="41"/>
      <c r="K151" s="15"/>
      <c r="L151" s="15"/>
      <c r="M151" s="15"/>
      <c r="N151" s="15"/>
      <c r="P151" s="15"/>
    </row>
    <row r="152" spans="1:16" ht="12.75">
      <c r="A152" s="13" t="s">
        <v>2254</v>
      </c>
      <c r="B152" s="49"/>
      <c r="C152" s="49"/>
      <c r="D152" s="39"/>
      <c r="E152" s="40"/>
      <c r="H152" s="49"/>
      <c r="I152" s="49"/>
      <c r="J152" s="41"/>
      <c r="K152" s="15"/>
      <c r="L152" s="15"/>
      <c r="M152" s="15"/>
      <c r="N152" s="15"/>
      <c r="P152" s="15"/>
    </row>
    <row r="153" spans="1:16" ht="12.75">
      <c r="A153" s="13" t="s">
        <v>2254</v>
      </c>
      <c r="B153" s="49"/>
      <c r="C153" s="49"/>
      <c r="D153" s="39"/>
      <c r="E153" s="40"/>
      <c r="H153" s="49"/>
      <c r="I153" s="49"/>
      <c r="J153" s="41"/>
      <c r="K153" s="15"/>
      <c r="L153" s="15"/>
      <c r="M153" s="15"/>
      <c r="N153" s="15"/>
      <c r="P153" s="15"/>
    </row>
    <row r="154" spans="1:16" ht="12.75">
      <c r="A154" s="13" t="s">
        <v>2254</v>
      </c>
      <c r="B154" s="49"/>
      <c r="C154" s="49"/>
      <c r="D154" s="39"/>
      <c r="E154" s="40"/>
      <c r="H154" s="49"/>
      <c r="I154" s="49"/>
      <c r="J154" s="41"/>
      <c r="K154" s="15"/>
      <c r="L154" s="15"/>
      <c r="M154" s="15"/>
      <c r="N154" s="15"/>
      <c r="P154" s="15"/>
    </row>
    <row r="155" spans="1:16" ht="12.75">
      <c r="A155" s="13" t="s">
        <v>2254</v>
      </c>
      <c r="B155" s="49"/>
      <c r="C155" s="49"/>
      <c r="D155" s="39"/>
      <c r="E155" s="40"/>
      <c r="H155" s="49"/>
      <c r="I155" s="49"/>
      <c r="J155" s="41"/>
      <c r="K155" s="15"/>
      <c r="L155" s="15"/>
      <c r="M155" s="15"/>
      <c r="N155" s="15"/>
      <c r="P155" s="15"/>
    </row>
    <row r="156" spans="1:16" ht="12.75">
      <c r="A156" s="13" t="s">
        <v>2254</v>
      </c>
      <c r="B156" s="49"/>
      <c r="C156" s="49"/>
      <c r="D156" s="39"/>
      <c r="E156" s="40"/>
      <c r="H156" s="49"/>
      <c r="I156" s="49"/>
      <c r="J156" s="41"/>
      <c r="K156" s="15"/>
      <c r="L156" s="15"/>
      <c r="M156" s="15"/>
      <c r="N156" s="15"/>
      <c r="P156" s="15"/>
    </row>
    <row r="157" spans="1:16" ht="12.75">
      <c r="A157" s="13" t="s">
        <v>2254</v>
      </c>
      <c r="B157" s="49"/>
      <c r="C157" s="49"/>
      <c r="D157" s="39"/>
      <c r="E157" s="40"/>
      <c r="H157" s="49"/>
      <c r="I157" s="49"/>
      <c r="J157" s="41"/>
      <c r="K157" s="15"/>
      <c r="L157" s="15"/>
      <c r="M157" s="15"/>
      <c r="N157" s="15"/>
      <c r="P157" s="15"/>
    </row>
    <row r="158" spans="1:16" ht="12.75">
      <c r="A158" s="13" t="s">
        <v>2254</v>
      </c>
      <c r="B158" s="49"/>
      <c r="C158" s="49"/>
      <c r="D158" s="39"/>
      <c r="E158" s="40"/>
      <c r="H158" s="49"/>
      <c r="I158" s="49"/>
      <c r="J158" s="41"/>
      <c r="K158" s="15"/>
      <c r="L158" s="15"/>
      <c r="M158" s="15"/>
      <c r="N158" s="15"/>
      <c r="P158" s="15"/>
    </row>
    <row r="159" spans="1:16" ht="12.75">
      <c r="A159" s="13" t="s">
        <v>2254</v>
      </c>
      <c r="B159" s="49"/>
      <c r="C159" s="49"/>
      <c r="D159" s="39"/>
      <c r="E159" s="40"/>
      <c r="H159" s="49"/>
      <c r="I159" s="49"/>
      <c r="J159" s="41"/>
      <c r="K159" s="15"/>
      <c r="L159" s="15"/>
      <c r="M159" s="15"/>
      <c r="N159" s="15"/>
      <c r="P159" s="15"/>
    </row>
    <row r="160" spans="1:16" ht="12.75">
      <c r="A160" s="13" t="s">
        <v>2254</v>
      </c>
      <c r="B160" s="49"/>
      <c r="C160" s="49"/>
      <c r="D160" s="39"/>
      <c r="E160" s="40"/>
      <c r="H160" s="49"/>
      <c r="I160" s="49"/>
      <c r="J160" s="41"/>
      <c r="K160" s="15"/>
      <c r="L160" s="15"/>
      <c r="M160" s="15"/>
      <c r="N160" s="15"/>
      <c r="P160" s="15"/>
    </row>
    <row r="161" spans="1:16" ht="12.75">
      <c r="A161" s="13" t="s">
        <v>2254</v>
      </c>
      <c r="B161" s="49"/>
      <c r="C161" s="49"/>
      <c r="D161" s="39"/>
      <c r="E161" s="40"/>
      <c r="H161" s="49"/>
      <c r="I161" s="49"/>
      <c r="J161" s="41"/>
      <c r="K161" s="15"/>
      <c r="L161" s="15"/>
      <c r="M161" s="15"/>
      <c r="N161" s="15"/>
      <c r="P161" s="15"/>
    </row>
    <row r="162" spans="1:16" ht="12.75">
      <c r="A162" s="49"/>
      <c r="B162" s="49"/>
      <c r="C162" s="49"/>
      <c r="D162" s="39"/>
      <c r="E162" s="40"/>
      <c r="H162" s="49"/>
      <c r="I162" s="49"/>
      <c r="J162" s="41"/>
      <c r="K162" s="15"/>
      <c r="L162" s="15"/>
      <c r="M162" s="15"/>
      <c r="N162" s="15"/>
      <c r="P162" s="15"/>
    </row>
    <row r="163" spans="1:16" ht="12.75">
      <c r="A163" s="49"/>
      <c r="B163" s="49"/>
      <c r="C163" s="49"/>
      <c r="D163" s="39"/>
      <c r="E163" s="40"/>
      <c r="H163" s="49"/>
      <c r="I163" s="49"/>
      <c r="J163" s="41"/>
      <c r="K163" s="15"/>
      <c r="L163" s="15"/>
      <c r="M163" s="15"/>
      <c r="N163" s="15"/>
      <c r="P163" s="15"/>
    </row>
    <row r="164" spans="1:16" ht="12.75">
      <c r="A164" s="49"/>
      <c r="B164" s="49"/>
      <c r="C164" s="49"/>
      <c r="D164" s="39"/>
      <c r="E164" s="40"/>
      <c r="H164" s="49"/>
      <c r="I164" s="49"/>
      <c r="J164" s="41"/>
      <c r="K164" s="15"/>
      <c r="L164" s="15"/>
      <c r="M164" s="15"/>
      <c r="N164" s="15"/>
      <c r="P164" s="15"/>
    </row>
    <row r="165" spans="1:16" ht="12.75">
      <c r="A165" s="49"/>
      <c r="B165" s="49"/>
      <c r="C165" s="49"/>
      <c r="D165" s="39"/>
      <c r="E165" s="40"/>
      <c r="H165" s="49"/>
      <c r="I165" s="49"/>
      <c r="J165" s="41"/>
      <c r="K165" s="15"/>
      <c r="L165" s="15"/>
      <c r="M165" s="15"/>
      <c r="N165" s="15"/>
      <c r="P165" s="15"/>
    </row>
    <row r="166" spans="1:16" ht="12.75">
      <c r="A166" s="49"/>
      <c r="B166" s="49"/>
      <c r="C166" s="49"/>
      <c r="D166" s="39"/>
      <c r="E166" s="40"/>
      <c r="H166" s="49"/>
      <c r="I166" s="49"/>
      <c r="J166" s="41"/>
      <c r="K166" s="15"/>
      <c r="L166" s="15"/>
      <c r="M166" s="15"/>
      <c r="N166" s="15"/>
      <c r="P166" s="15"/>
    </row>
    <row r="167" spans="1:16" ht="12.75">
      <c r="A167" s="49"/>
      <c r="B167" s="49"/>
      <c r="C167" s="49"/>
      <c r="D167" s="39"/>
      <c r="E167" s="40"/>
      <c r="H167" s="49"/>
      <c r="I167" s="49"/>
      <c r="J167" s="41"/>
      <c r="K167" s="15"/>
      <c r="L167" s="15"/>
      <c r="M167" s="15"/>
      <c r="N167" s="15"/>
      <c r="P167" s="15"/>
    </row>
    <row r="168" spans="1:16" ht="12.75">
      <c r="A168" s="49"/>
      <c r="B168" s="49"/>
      <c r="C168" s="49"/>
      <c r="D168" s="39"/>
      <c r="E168" s="40"/>
      <c r="H168" s="49"/>
      <c r="I168" s="49"/>
      <c r="J168" s="41"/>
      <c r="K168" s="15"/>
      <c r="L168" s="15"/>
      <c r="M168" s="15"/>
      <c r="N168" s="15"/>
      <c r="P168" s="15"/>
    </row>
    <row r="169" spans="1:16" ht="12.75">
      <c r="A169" s="49"/>
      <c r="B169" s="49"/>
      <c r="C169" s="49"/>
      <c r="D169" s="39"/>
      <c r="E169" s="40"/>
      <c r="H169" s="49"/>
      <c r="I169" s="49"/>
      <c r="J169" s="41"/>
      <c r="K169" s="15"/>
      <c r="L169" s="15"/>
      <c r="M169" s="15"/>
      <c r="N169" s="15"/>
      <c r="P169" s="15"/>
    </row>
    <row r="170" spans="1:16" ht="12.75">
      <c r="A170" s="49"/>
      <c r="B170" s="49"/>
      <c r="C170" s="49"/>
      <c r="D170" s="39"/>
      <c r="E170" s="40"/>
      <c r="H170" s="49"/>
      <c r="I170" s="49"/>
      <c r="J170" s="41"/>
      <c r="K170" s="15"/>
      <c r="L170" s="15"/>
      <c r="M170" s="15"/>
      <c r="N170" s="15"/>
      <c r="P170" s="15"/>
    </row>
    <row r="171" spans="1:16" ht="12.75">
      <c r="A171" s="49"/>
      <c r="B171" s="49"/>
      <c r="C171" s="49"/>
      <c r="D171" s="39"/>
      <c r="E171" s="40"/>
      <c r="H171" s="49"/>
      <c r="I171" s="49"/>
      <c r="J171" s="41"/>
      <c r="K171" s="15"/>
      <c r="L171" s="15"/>
      <c r="M171" s="15"/>
      <c r="N171" s="15"/>
      <c r="P171" s="15"/>
    </row>
    <row r="172" spans="1:16" ht="12.75">
      <c r="A172" s="49"/>
      <c r="B172" s="49"/>
      <c r="C172" s="49"/>
      <c r="D172" s="39"/>
      <c r="E172" s="40"/>
      <c r="H172" s="49"/>
      <c r="I172" s="49"/>
      <c r="J172" s="41"/>
      <c r="K172" s="15"/>
      <c r="L172" s="15"/>
      <c r="M172" s="15"/>
      <c r="N172" s="15"/>
      <c r="P172" s="15"/>
    </row>
    <row r="173" spans="1:16" ht="12.75">
      <c r="A173" s="49"/>
      <c r="B173" s="49"/>
      <c r="C173" s="49"/>
      <c r="D173" s="39"/>
      <c r="E173" s="40"/>
      <c r="H173" s="49"/>
      <c r="I173" s="49"/>
      <c r="J173" s="41"/>
      <c r="K173" s="15"/>
      <c r="L173" s="15"/>
      <c r="M173" s="15"/>
      <c r="N173" s="15"/>
      <c r="P173" s="15"/>
    </row>
    <row r="174" spans="1:16" ht="12.75">
      <c r="A174" s="49"/>
      <c r="B174" s="49"/>
      <c r="C174" s="49"/>
      <c r="D174" s="39"/>
      <c r="E174" s="40"/>
      <c r="H174" s="49"/>
      <c r="I174" s="49"/>
      <c r="J174" s="41"/>
      <c r="K174" s="15"/>
      <c r="L174" s="15"/>
      <c r="M174" s="15"/>
      <c r="N174" s="15"/>
      <c r="P174" s="15"/>
    </row>
    <row r="175" spans="1:16" ht="12.75">
      <c r="A175" s="49"/>
      <c r="B175" s="49"/>
      <c r="C175" s="49"/>
      <c r="D175" s="39"/>
      <c r="E175" s="40"/>
      <c r="H175" s="49"/>
      <c r="I175" s="49"/>
      <c r="J175" s="41"/>
      <c r="K175" s="15"/>
      <c r="L175" s="15"/>
      <c r="M175" s="15"/>
      <c r="N175" s="15"/>
      <c r="P175" s="15"/>
    </row>
    <row r="176" spans="1:16" ht="12.75">
      <c r="A176" s="49"/>
      <c r="B176" s="49"/>
      <c r="C176" s="49"/>
      <c r="D176" s="39"/>
      <c r="E176" s="40"/>
      <c r="H176" s="49"/>
      <c r="I176" s="49"/>
      <c r="J176" s="41"/>
      <c r="K176" s="15"/>
      <c r="L176" s="15"/>
      <c r="M176" s="15"/>
      <c r="N176" s="15"/>
      <c r="P176" s="15"/>
    </row>
    <row r="177" spans="1:16" ht="12.75">
      <c r="A177" s="49"/>
      <c r="B177" s="49"/>
      <c r="C177" s="49"/>
      <c r="D177" s="39"/>
      <c r="E177" s="40"/>
      <c r="H177" s="49"/>
      <c r="I177" s="49"/>
      <c r="J177" s="41"/>
      <c r="K177" s="15"/>
      <c r="L177" s="15"/>
      <c r="M177" s="15"/>
      <c r="N177" s="15"/>
      <c r="P177" s="15"/>
    </row>
    <row r="178" spans="1:16" ht="12.75">
      <c r="A178" s="49"/>
      <c r="B178" s="49"/>
      <c r="C178" s="49"/>
      <c r="D178" s="39"/>
      <c r="E178" s="40"/>
      <c r="H178" s="49"/>
      <c r="I178" s="49"/>
      <c r="J178" s="41"/>
      <c r="K178" s="15"/>
      <c r="L178" s="15"/>
      <c r="M178" s="15"/>
      <c r="N178" s="15"/>
      <c r="P178" s="15"/>
    </row>
    <row r="179" spans="1:16" ht="12.75">
      <c r="A179" s="49"/>
      <c r="B179" s="49"/>
      <c r="C179" s="49"/>
      <c r="D179" s="39"/>
      <c r="E179" s="40"/>
      <c r="H179" s="49"/>
      <c r="I179" s="49"/>
      <c r="J179" s="41"/>
      <c r="K179" s="15"/>
      <c r="L179" s="15"/>
      <c r="M179" s="15"/>
      <c r="N179" s="15"/>
      <c r="P179" s="15"/>
    </row>
    <row r="180" spans="1:16" ht="12.75">
      <c r="A180" s="49"/>
      <c r="B180" s="49"/>
      <c r="C180" s="49"/>
      <c r="D180" s="39"/>
      <c r="E180" s="40"/>
      <c r="H180" s="49"/>
      <c r="I180" s="49"/>
      <c r="J180" s="41"/>
      <c r="K180" s="15"/>
      <c r="L180" s="15"/>
      <c r="M180" s="15"/>
      <c r="N180" s="15"/>
      <c r="P180" s="15"/>
    </row>
    <row r="181" spans="1:16" ht="12.75">
      <c r="A181" s="49"/>
      <c r="B181" s="49"/>
      <c r="C181" s="49"/>
      <c r="D181" s="39"/>
      <c r="E181" s="40"/>
      <c r="H181" s="49"/>
      <c r="I181" s="49"/>
      <c r="J181" s="41"/>
      <c r="K181" s="15"/>
      <c r="L181" s="15"/>
      <c r="M181" s="15"/>
      <c r="N181" s="15"/>
      <c r="P181" s="15"/>
    </row>
    <row r="182" spans="1:16" ht="12.75">
      <c r="A182" s="49"/>
      <c r="B182" s="49"/>
      <c r="C182" s="49"/>
      <c r="D182" s="39"/>
      <c r="E182" s="40"/>
      <c r="H182" s="49"/>
      <c r="I182" s="49"/>
      <c r="J182" s="41"/>
      <c r="K182" s="15"/>
      <c r="L182" s="15"/>
      <c r="M182" s="15"/>
      <c r="N182" s="15"/>
      <c r="P182" s="15"/>
    </row>
    <row r="183" spans="1:16" ht="12.75">
      <c r="A183" s="49"/>
      <c r="B183" s="49"/>
      <c r="C183" s="49"/>
      <c r="D183" s="39"/>
      <c r="E183" s="40"/>
      <c r="H183" s="49"/>
      <c r="I183" s="49"/>
      <c r="J183" s="41"/>
      <c r="K183" s="15"/>
      <c r="L183" s="15"/>
      <c r="M183" s="15"/>
      <c r="N183" s="15"/>
      <c r="P183" s="15"/>
    </row>
    <row r="184" spans="1:16" ht="12.75">
      <c r="A184" s="49"/>
      <c r="B184" s="49"/>
      <c r="C184" s="49"/>
      <c r="D184" s="39"/>
      <c r="E184" s="40"/>
      <c r="H184" s="49"/>
      <c r="I184" s="49"/>
      <c r="J184" s="41"/>
      <c r="K184" s="15"/>
      <c r="L184" s="15"/>
      <c r="M184" s="15"/>
      <c r="N184" s="15"/>
      <c r="P184" s="15"/>
    </row>
    <row r="185" spans="1:16" ht="12.75">
      <c r="A185" s="49"/>
      <c r="B185" s="49"/>
      <c r="C185" s="49"/>
      <c r="D185" s="39"/>
      <c r="E185" s="40"/>
      <c r="H185" s="49"/>
      <c r="I185" s="49"/>
      <c r="J185" s="41"/>
      <c r="K185" s="15"/>
      <c r="L185" s="15"/>
      <c r="M185" s="15"/>
      <c r="N185" s="15"/>
      <c r="P185" s="15"/>
    </row>
    <row r="186" spans="1:16" ht="12.75">
      <c r="A186" s="49"/>
      <c r="B186" s="49"/>
      <c r="C186" s="49"/>
      <c r="D186" s="39"/>
      <c r="E186" s="40"/>
      <c r="H186" s="49"/>
      <c r="I186" s="49"/>
      <c r="J186" s="41"/>
      <c r="K186" s="15"/>
      <c r="L186" s="15"/>
      <c r="M186" s="15"/>
      <c r="N186" s="15"/>
      <c r="P186" s="15"/>
    </row>
    <row r="187" spans="1:16" ht="12.75">
      <c r="A187" s="49"/>
      <c r="B187" s="49"/>
      <c r="C187" s="49"/>
      <c r="D187" s="39"/>
      <c r="E187" s="40"/>
      <c r="H187" s="49"/>
      <c r="I187" s="49"/>
      <c r="J187" s="41"/>
      <c r="K187" s="15"/>
      <c r="L187" s="15"/>
      <c r="M187" s="15"/>
      <c r="N187" s="15"/>
      <c r="P187" s="15"/>
    </row>
    <row r="188" spans="1:16" ht="12.75">
      <c r="A188" s="49"/>
      <c r="B188" s="49"/>
      <c r="C188" s="49"/>
      <c r="D188" s="39"/>
      <c r="E188" s="40"/>
      <c r="H188" s="49"/>
      <c r="I188" s="49"/>
      <c r="J188" s="41"/>
      <c r="K188" s="15"/>
      <c r="L188" s="15"/>
      <c r="M188" s="15"/>
      <c r="N188" s="15"/>
      <c r="P188" s="15"/>
    </row>
    <row r="189" spans="1:16" ht="12.75">
      <c r="A189" s="49"/>
      <c r="B189" s="49"/>
      <c r="C189" s="49"/>
      <c r="D189" s="39"/>
      <c r="E189" s="40"/>
      <c r="H189" s="49"/>
      <c r="I189" s="49"/>
      <c r="J189" s="41"/>
      <c r="K189" s="15"/>
      <c r="L189" s="15"/>
      <c r="M189" s="15"/>
      <c r="N189" s="15"/>
      <c r="P189" s="15"/>
    </row>
    <row r="190" spans="1:16" ht="12.75">
      <c r="A190" s="49"/>
      <c r="B190" s="49"/>
      <c r="C190" s="49"/>
      <c r="D190" s="39"/>
      <c r="E190" s="40"/>
      <c r="H190" s="49"/>
      <c r="I190" s="49"/>
      <c r="J190" s="41"/>
      <c r="K190" s="15"/>
      <c r="L190" s="15"/>
      <c r="M190" s="15"/>
      <c r="N190" s="15"/>
      <c r="P190" s="15"/>
    </row>
    <row r="191" spans="1:16" ht="12.75">
      <c r="A191" s="49"/>
      <c r="B191" s="49"/>
      <c r="C191" s="49"/>
      <c r="D191" s="39"/>
      <c r="E191" s="40"/>
      <c r="H191" s="49"/>
      <c r="I191" s="49"/>
      <c r="J191" s="41"/>
      <c r="K191" s="15"/>
      <c r="L191" s="15"/>
      <c r="M191" s="15"/>
      <c r="N191" s="15"/>
      <c r="P191" s="15"/>
    </row>
    <row r="192" spans="1:16" ht="12.75">
      <c r="A192" s="49"/>
      <c r="B192" s="49"/>
      <c r="C192" s="49"/>
      <c r="D192" s="39"/>
      <c r="E192" s="40"/>
      <c r="H192" s="49"/>
      <c r="I192" s="49"/>
      <c r="J192" s="41"/>
      <c r="K192" s="15"/>
      <c r="L192" s="15"/>
      <c r="M192" s="15"/>
      <c r="N192" s="15"/>
      <c r="P192" s="15"/>
    </row>
    <row r="193" spans="1:16" ht="12.75">
      <c r="A193" s="49"/>
      <c r="B193" s="49"/>
      <c r="C193" s="49"/>
      <c r="D193" s="39"/>
      <c r="E193" s="40"/>
      <c r="H193" s="49"/>
      <c r="I193" s="49"/>
      <c r="J193" s="41"/>
      <c r="K193" s="15"/>
      <c r="L193" s="15"/>
      <c r="M193" s="15"/>
      <c r="N193" s="15"/>
      <c r="P193" s="15"/>
    </row>
    <row r="194" spans="1:16" ht="12.75">
      <c r="A194" s="49"/>
      <c r="B194" s="49"/>
      <c r="C194" s="49"/>
      <c r="D194" s="39"/>
      <c r="E194" s="40"/>
      <c r="H194" s="49"/>
      <c r="I194" s="49"/>
      <c r="J194" s="41"/>
      <c r="K194" s="15"/>
      <c r="L194" s="15"/>
      <c r="M194" s="15"/>
      <c r="N194" s="15"/>
      <c r="P194" s="15"/>
    </row>
    <row r="195" spans="1:16" ht="12.75">
      <c r="A195" s="49"/>
      <c r="B195" s="49"/>
      <c r="C195" s="49"/>
      <c r="D195" s="39"/>
      <c r="E195" s="40"/>
      <c r="H195" s="49"/>
      <c r="I195" s="49"/>
      <c r="J195" s="41"/>
      <c r="K195" s="15"/>
      <c r="L195" s="15"/>
      <c r="M195" s="15"/>
      <c r="N195" s="15"/>
      <c r="P195" s="15"/>
    </row>
    <row r="196" spans="1:16" ht="12.75">
      <c r="A196" s="49"/>
      <c r="B196" s="49"/>
      <c r="C196" s="49"/>
      <c r="D196" s="39"/>
      <c r="E196" s="40"/>
      <c r="H196" s="49"/>
      <c r="I196" s="49"/>
      <c r="J196" s="41"/>
      <c r="K196" s="15"/>
      <c r="L196" s="15"/>
      <c r="M196" s="15"/>
      <c r="N196" s="15"/>
      <c r="P196" s="15"/>
    </row>
    <row r="197" spans="1:16" ht="12.75">
      <c r="A197" s="49"/>
      <c r="B197" s="49"/>
      <c r="C197" s="49"/>
      <c r="D197" s="39"/>
      <c r="E197" s="40"/>
      <c r="H197" s="49"/>
      <c r="I197" s="49"/>
      <c r="J197" s="41"/>
      <c r="K197" s="15"/>
      <c r="L197" s="15"/>
      <c r="M197" s="15"/>
      <c r="N197" s="15"/>
      <c r="P197" s="15"/>
    </row>
    <row r="198" spans="1:16" ht="12.75">
      <c r="A198" s="49"/>
      <c r="B198" s="49"/>
      <c r="C198" s="49"/>
      <c r="D198" s="39"/>
      <c r="E198" s="40"/>
      <c r="H198" s="49"/>
      <c r="I198" s="49"/>
      <c r="J198" s="41"/>
      <c r="K198" s="15"/>
      <c r="L198" s="15"/>
      <c r="M198" s="15"/>
      <c r="N198" s="15"/>
      <c r="P198" s="15"/>
    </row>
    <row r="199" spans="1:16" ht="12.75">
      <c r="A199" s="49"/>
      <c r="B199" s="49"/>
      <c r="C199" s="49"/>
      <c r="D199" s="39"/>
      <c r="E199" s="40"/>
      <c r="H199" s="49"/>
      <c r="I199" s="49"/>
      <c r="J199" s="41"/>
      <c r="K199" s="15"/>
      <c r="L199" s="15"/>
      <c r="M199" s="15"/>
      <c r="N199" s="15"/>
      <c r="P199" s="15"/>
    </row>
    <row r="200" spans="1:16" ht="12.75">
      <c r="A200" s="49"/>
      <c r="B200" s="49"/>
      <c r="C200" s="49"/>
      <c r="D200" s="39"/>
      <c r="E200" s="40"/>
      <c r="H200" s="49"/>
      <c r="I200" s="49"/>
      <c r="J200" s="41"/>
      <c r="K200" s="15"/>
      <c r="L200" s="15"/>
      <c r="M200" s="15"/>
      <c r="N200" s="15"/>
      <c r="P200" s="15"/>
    </row>
    <row r="201" spans="1:16" ht="12.75">
      <c r="A201" s="49"/>
      <c r="B201" s="49"/>
      <c r="C201" s="49"/>
      <c r="D201" s="39"/>
      <c r="E201" s="40"/>
      <c r="H201" s="49"/>
      <c r="I201" s="49"/>
      <c r="J201" s="41"/>
      <c r="K201" s="15"/>
      <c r="L201" s="15"/>
      <c r="M201" s="15"/>
      <c r="N201" s="15"/>
      <c r="P201" s="15"/>
    </row>
    <row r="202" spans="1:16" ht="12.75">
      <c r="A202" s="49"/>
      <c r="B202" s="49"/>
      <c r="C202" s="49"/>
      <c r="D202" s="39"/>
      <c r="E202" s="40"/>
      <c r="H202" s="49"/>
      <c r="I202" s="49"/>
      <c r="J202" s="41"/>
      <c r="K202" s="15"/>
      <c r="L202" s="15"/>
      <c r="M202" s="15"/>
      <c r="N202" s="15"/>
      <c r="P202" s="15"/>
    </row>
    <row r="203" spans="1:16" ht="12.75">
      <c r="A203" s="49"/>
      <c r="B203" s="49"/>
      <c r="C203" s="49"/>
      <c r="D203" s="39"/>
      <c r="E203" s="40"/>
      <c r="H203" s="49"/>
      <c r="I203" s="49"/>
      <c r="J203" s="41"/>
      <c r="K203" s="15"/>
      <c r="L203" s="15"/>
      <c r="M203" s="15"/>
      <c r="N203" s="15"/>
      <c r="P203" s="15"/>
    </row>
    <row r="204" spans="1:16" ht="12.75">
      <c r="A204" s="49"/>
      <c r="B204" s="49"/>
      <c r="C204" s="49"/>
      <c r="D204" s="39"/>
      <c r="E204" s="40"/>
      <c r="H204" s="49"/>
      <c r="I204" s="49"/>
      <c r="J204" s="41"/>
      <c r="K204" s="15"/>
      <c r="L204" s="15"/>
      <c r="M204" s="15"/>
      <c r="N204" s="15"/>
      <c r="P204" s="15"/>
    </row>
    <row r="205" spans="1:16" ht="12.75">
      <c r="A205" s="49"/>
      <c r="B205" s="49"/>
      <c r="C205" s="49"/>
      <c r="D205" s="39"/>
      <c r="E205" s="40"/>
      <c r="H205" s="49"/>
      <c r="I205" s="49"/>
      <c r="J205" s="41"/>
      <c r="K205" s="15"/>
      <c r="L205" s="15"/>
      <c r="M205" s="15"/>
      <c r="N205" s="15"/>
      <c r="P205" s="15"/>
    </row>
    <row r="206" spans="1:16" ht="12.75">
      <c r="A206" s="49"/>
      <c r="B206" s="49"/>
      <c r="C206" s="49"/>
      <c r="D206" s="39"/>
      <c r="E206" s="40"/>
      <c r="H206" s="49"/>
      <c r="I206" s="49"/>
      <c r="J206" s="41"/>
      <c r="K206" s="15"/>
      <c r="L206" s="15"/>
      <c r="M206" s="15"/>
      <c r="N206" s="15"/>
      <c r="P206" s="15"/>
    </row>
    <row r="207" spans="1:16" ht="12.75">
      <c r="A207" s="49"/>
      <c r="B207" s="49"/>
      <c r="C207" s="49"/>
      <c r="D207" s="39"/>
      <c r="E207" s="40"/>
      <c r="H207" s="49"/>
      <c r="I207" s="49"/>
      <c r="J207" s="41"/>
      <c r="K207" s="15"/>
      <c r="L207" s="15"/>
      <c r="M207" s="15"/>
      <c r="N207" s="15"/>
      <c r="P207" s="15"/>
    </row>
    <row r="208" spans="1:16" ht="12.75">
      <c r="A208" s="49"/>
      <c r="B208" s="49"/>
      <c r="C208" s="49"/>
      <c r="D208" s="39"/>
      <c r="E208" s="40"/>
      <c r="H208" s="49"/>
      <c r="I208" s="49"/>
      <c r="J208" s="41"/>
      <c r="K208" s="15"/>
      <c r="L208" s="15"/>
      <c r="M208" s="15"/>
      <c r="N208" s="15"/>
      <c r="P208" s="15"/>
    </row>
    <row r="209" spans="1:16" ht="12.75">
      <c r="A209" s="49"/>
      <c r="B209" s="49"/>
      <c r="C209" s="49"/>
      <c r="D209" s="39"/>
      <c r="E209" s="40"/>
      <c r="H209" s="49"/>
      <c r="I209" s="49"/>
      <c r="J209" s="41"/>
      <c r="K209" s="15"/>
      <c r="L209" s="15"/>
      <c r="M209" s="15"/>
      <c r="N209" s="15"/>
      <c r="P209" s="15"/>
    </row>
    <row r="210" spans="1:16" ht="12.75">
      <c r="A210" s="49"/>
      <c r="B210" s="49"/>
      <c r="C210" s="49"/>
      <c r="D210" s="39"/>
      <c r="E210" s="40"/>
      <c r="H210" s="49"/>
      <c r="I210" s="49"/>
      <c r="J210" s="41"/>
      <c r="K210" s="15"/>
      <c r="L210" s="15"/>
      <c r="M210" s="15"/>
      <c r="N210" s="15"/>
      <c r="P210" s="15"/>
    </row>
    <row r="211" spans="1:16" ht="12.75">
      <c r="A211" s="49"/>
      <c r="B211" s="49"/>
      <c r="C211" s="49"/>
      <c r="D211" s="39"/>
      <c r="E211" s="40"/>
      <c r="H211" s="49"/>
      <c r="I211" s="49"/>
      <c r="J211" s="41"/>
      <c r="K211" s="15"/>
      <c r="L211" s="15"/>
      <c r="M211" s="15"/>
      <c r="N211" s="15"/>
      <c r="P211" s="15"/>
    </row>
    <row r="212" spans="1:16" ht="12.75">
      <c r="A212" s="49"/>
      <c r="B212" s="49"/>
      <c r="C212" s="49"/>
      <c r="D212" s="39"/>
      <c r="E212" s="40"/>
      <c r="H212" s="49"/>
      <c r="I212" s="49"/>
      <c r="J212" s="41"/>
      <c r="K212" s="15"/>
      <c r="L212" s="15"/>
      <c r="M212" s="15"/>
      <c r="N212" s="15"/>
      <c r="P212" s="15"/>
    </row>
    <row r="213" spans="1:16" ht="12.75">
      <c r="A213" s="49"/>
      <c r="B213" s="49"/>
      <c r="C213" s="49"/>
      <c r="D213" s="39"/>
      <c r="E213" s="40"/>
      <c r="H213" s="49"/>
      <c r="I213" s="49"/>
      <c r="J213" s="41"/>
      <c r="K213" s="15"/>
      <c r="L213" s="15"/>
      <c r="M213" s="15"/>
      <c r="N213" s="15"/>
      <c r="P213" s="15"/>
    </row>
    <row r="214" spans="1:16" ht="12.75">
      <c r="A214" s="49"/>
      <c r="B214" s="49"/>
      <c r="C214" s="49"/>
      <c r="D214" s="39"/>
      <c r="E214" s="40"/>
      <c r="H214" s="49"/>
      <c r="I214" s="49"/>
      <c r="J214" s="41"/>
      <c r="K214" s="15"/>
      <c r="L214" s="15"/>
      <c r="M214" s="15"/>
      <c r="N214" s="15"/>
      <c r="P214" s="15"/>
    </row>
    <row r="215" spans="1:16" ht="12.75">
      <c r="A215" s="49"/>
      <c r="B215" s="49"/>
      <c r="C215" s="49"/>
      <c r="D215" s="39"/>
      <c r="E215" s="40"/>
      <c r="H215" s="49"/>
      <c r="I215" s="49"/>
      <c r="J215" s="41"/>
      <c r="K215" s="15"/>
      <c r="L215" s="15"/>
      <c r="M215" s="15"/>
      <c r="N215" s="15"/>
      <c r="P215" s="15"/>
    </row>
    <row r="216" spans="1:16" ht="12.75">
      <c r="A216" s="49"/>
      <c r="B216" s="49"/>
      <c r="C216" s="49"/>
      <c r="D216" s="39"/>
      <c r="E216" s="40"/>
      <c r="H216" s="49"/>
      <c r="I216" s="49"/>
      <c r="J216" s="41"/>
      <c r="K216" s="15"/>
      <c r="L216" s="15"/>
      <c r="M216" s="15"/>
      <c r="N216" s="15"/>
      <c r="P216" s="15"/>
    </row>
    <row r="217" spans="1:16" ht="12.75">
      <c r="A217" s="49"/>
      <c r="B217" s="49"/>
      <c r="C217" s="49"/>
      <c r="D217" s="39"/>
      <c r="E217" s="40"/>
      <c r="H217" s="49"/>
      <c r="I217" s="49"/>
      <c r="J217" s="41"/>
      <c r="K217" s="15"/>
      <c r="L217" s="15"/>
      <c r="M217" s="15"/>
      <c r="N217" s="15"/>
      <c r="P217" s="15"/>
    </row>
    <row r="218" spans="1:16" ht="12.75">
      <c r="A218" s="49"/>
      <c r="B218" s="49"/>
      <c r="C218" s="49"/>
      <c r="D218" s="39"/>
      <c r="E218" s="40"/>
      <c r="H218" s="49"/>
      <c r="I218" s="49"/>
      <c r="J218" s="41"/>
      <c r="K218" s="15"/>
      <c r="L218" s="15"/>
      <c r="M218" s="15"/>
      <c r="N218" s="15"/>
      <c r="P218" s="15"/>
    </row>
    <row r="219" spans="1:16" ht="12.75">
      <c r="A219" s="49"/>
      <c r="B219" s="49"/>
      <c r="C219" s="49"/>
      <c r="D219" s="39"/>
      <c r="E219" s="40"/>
      <c r="H219" s="49"/>
      <c r="I219" s="49"/>
      <c r="J219" s="41"/>
      <c r="K219" s="15"/>
      <c r="L219" s="15"/>
      <c r="M219" s="15"/>
      <c r="N219" s="15"/>
      <c r="P219" s="15"/>
    </row>
    <row r="220" spans="1:16" ht="12.75">
      <c r="A220" s="49"/>
      <c r="B220" s="49"/>
      <c r="C220" s="49"/>
      <c r="D220" s="39"/>
      <c r="E220" s="40"/>
      <c r="H220" s="49"/>
      <c r="I220" s="49"/>
      <c r="J220" s="41"/>
      <c r="K220" s="15"/>
      <c r="L220" s="15"/>
      <c r="M220" s="15"/>
      <c r="N220" s="15"/>
      <c r="P220" s="15"/>
    </row>
    <row r="221" spans="1:16" ht="12.75">
      <c r="A221" s="49"/>
      <c r="B221" s="49"/>
      <c r="C221" s="49"/>
      <c r="D221" s="39"/>
      <c r="E221" s="40"/>
      <c r="H221" s="49"/>
      <c r="I221" s="49"/>
      <c r="J221" s="41"/>
      <c r="K221" s="15"/>
      <c r="L221" s="15"/>
      <c r="M221" s="15"/>
      <c r="N221" s="15"/>
      <c r="P221" s="15"/>
    </row>
    <row r="222" spans="1:16" ht="12.75">
      <c r="A222" s="49"/>
      <c r="B222" s="49"/>
      <c r="C222" s="49"/>
      <c r="D222" s="39"/>
      <c r="E222" s="40"/>
      <c r="H222" s="49"/>
      <c r="I222" s="49"/>
      <c r="J222" s="41"/>
      <c r="K222" s="15"/>
      <c r="L222" s="15"/>
      <c r="M222" s="15"/>
      <c r="N222" s="15"/>
      <c r="P222" s="15"/>
    </row>
    <row r="223" spans="1:16" ht="12.75">
      <c r="A223" s="49"/>
      <c r="B223" s="49"/>
      <c r="C223" s="49"/>
      <c r="D223" s="39"/>
      <c r="E223" s="40"/>
      <c r="H223" s="49"/>
      <c r="I223" s="49"/>
      <c r="J223" s="41"/>
      <c r="K223" s="15"/>
      <c r="L223" s="15"/>
      <c r="M223" s="15"/>
      <c r="N223" s="15"/>
      <c r="P223" s="15"/>
    </row>
    <row r="224" spans="1:16" ht="12.75">
      <c r="A224" s="49"/>
      <c r="B224" s="49"/>
      <c r="C224" s="49"/>
      <c r="D224" s="39"/>
      <c r="E224" s="40"/>
      <c r="H224" s="49"/>
      <c r="I224" s="49"/>
      <c r="J224" s="41"/>
      <c r="K224" s="15"/>
      <c r="L224" s="15"/>
      <c r="M224" s="15"/>
      <c r="N224" s="15"/>
      <c r="P224" s="15"/>
    </row>
    <row r="225" spans="1:16" ht="12.75">
      <c r="A225" s="49"/>
      <c r="B225" s="49"/>
      <c r="C225" s="49"/>
      <c r="D225" s="39"/>
      <c r="E225" s="40"/>
      <c r="H225" s="49"/>
      <c r="I225" s="49"/>
      <c r="J225" s="41"/>
      <c r="K225" s="15"/>
      <c r="L225" s="15"/>
      <c r="M225" s="15"/>
      <c r="N225" s="15"/>
      <c r="P225" s="15"/>
    </row>
    <row r="226" spans="1:16" ht="12.75">
      <c r="A226" s="49"/>
      <c r="B226" s="49"/>
      <c r="C226" s="49"/>
      <c r="D226" s="39"/>
      <c r="E226" s="40"/>
      <c r="H226" s="49"/>
      <c r="I226" s="49"/>
      <c r="J226" s="41"/>
      <c r="K226" s="15"/>
      <c r="L226" s="15"/>
      <c r="M226" s="15"/>
      <c r="N226" s="15"/>
      <c r="P226" s="15"/>
    </row>
    <row r="227" spans="1:16" ht="12.75">
      <c r="A227" s="49"/>
      <c r="B227" s="49"/>
      <c r="C227" s="49"/>
      <c r="D227" s="39"/>
      <c r="E227" s="40"/>
      <c r="H227" s="49"/>
      <c r="I227" s="49"/>
      <c r="J227" s="41"/>
      <c r="K227" s="15"/>
      <c r="L227" s="15"/>
      <c r="M227" s="15"/>
      <c r="N227" s="15"/>
      <c r="P227" s="15"/>
    </row>
    <row r="228" spans="1:16" ht="12.75">
      <c r="A228" s="49"/>
      <c r="B228" s="49"/>
      <c r="C228" s="49"/>
      <c r="D228" s="39"/>
      <c r="E228" s="40"/>
      <c r="H228" s="49"/>
      <c r="I228" s="49"/>
      <c r="J228" s="41"/>
      <c r="K228" s="15"/>
      <c r="L228" s="15"/>
      <c r="M228" s="15"/>
      <c r="N228" s="15"/>
      <c r="P228" s="15"/>
    </row>
    <row r="229" spans="1:16" ht="12.75">
      <c r="A229" s="49"/>
      <c r="B229" s="49"/>
      <c r="C229" s="49"/>
      <c r="D229" s="39"/>
      <c r="E229" s="40"/>
      <c r="H229" s="49"/>
      <c r="I229" s="49"/>
      <c r="J229" s="41"/>
      <c r="K229" s="15"/>
      <c r="L229" s="15"/>
      <c r="M229" s="15"/>
      <c r="N229" s="15"/>
      <c r="P229" s="15"/>
    </row>
    <row r="230" spans="1:16" ht="12.75">
      <c r="A230" s="49"/>
      <c r="B230" s="49"/>
      <c r="C230" s="49"/>
      <c r="D230" s="39"/>
      <c r="E230" s="40"/>
      <c r="H230" s="49"/>
      <c r="I230" s="49"/>
      <c r="J230" s="41"/>
      <c r="K230" s="15"/>
      <c r="L230" s="15"/>
      <c r="M230" s="15"/>
      <c r="N230" s="15"/>
      <c r="P230" s="15"/>
    </row>
    <row r="231" spans="1:16" ht="12.75">
      <c r="A231" s="49"/>
      <c r="B231" s="49"/>
      <c r="C231" s="49"/>
      <c r="D231" s="39"/>
      <c r="E231" s="40"/>
      <c r="H231" s="49"/>
      <c r="I231" s="49"/>
      <c r="J231" s="41"/>
      <c r="K231" s="15"/>
      <c r="L231" s="15"/>
      <c r="M231" s="15"/>
      <c r="N231" s="15"/>
      <c r="P231" s="15"/>
    </row>
    <row r="232" spans="1:16" ht="12.75">
      <c r="A232" s="49"/>
      <c r="B232" s="49"/>
      <c r="C232" s="49"/>
      <c r="D232" s="39"/>
      <c r="E232" s="40"/>
      <c r="H232" s="49"/>
      <c r="I232" s="49"/>
      <c r="J232" s="41"/>
      <c r="K232" s="15"/>
      <c r="L232" s="15"/>
      <c r="M232" s="15"/>
      <c r="N232" s="15"/>
      <c r="P232" s="15"/>
    </row>
    <row r="233" spans="1:16" ht="12.75">
      <c r="A233" s="49"/>
      <c r="B233" s="49"/>
      <c r="C233" s="49"/>
      <c r="D233" s="39"/>
      <c r="E233" s="40"/>
      <c r="H233" s="49"/>
      <c r="I233" s="49"/>
      <c r="J233" s="41"/>
      <c r="K233" s="15"/>
      <c r="L233" s="15"/>
      <c r="M233" s="15"/>
      <c r="N233" s="15"/>
      <c r="P233" s="15"/>
    </row>
    <row r="234" spans="1:16" ht="12.75">
      <c r="A234" s="49"/>
      <c r="B234" s="49"/>
      <c r="C234" s="49"/>
      <c r="D234" s="39"/>
      <c r="E234" s="40"/>
      <c r="H234" s="49"/>
      <c r="I234" s="49"/>
      <c r="J234" s="41"/>
      <c r="K234" s="15"/>
      <c r="L234" s="15"/>
      <c r="M234" s="15"/>
      <c r="N234" s="15"/>
      <c r="P234" s="15"/>
    </row>
    <row r="235" spans="1:16" ht="12.75">
      <c r="A235" s="49"/>
      <c r="B235" s="49"/>
      <c r="C235" s="49"/>
      <c r="D235" s="39"/>
      <c r="E235" s="40"/>
      <c r="H235" s="49"/>
      <c r="I235" s="49"/>
      <c r="J235" s="41"/>
      <c r="K235" s="15"/>
      <c r="L235" s="15"/>
      <c r="M235" s="15"/>
      <c r="N235" s="15"/>
      <c r="P235" s="15"/>
    </row>
    <row r="236" spans="1:16" ht="12.75">
      <c r="A236" s="49"/>
      <c r="B236" s="49"/>
      <c r="C236" s="49"/>
      <c r="D236" s="39"/>
      <c r="E236" s="40"/>
      <c r="H236" s="49"/>
      <c r="I236" s="49"/>
      <c r="J236" s="41"/>
      <c r="K236" s="15"/>
      <c r="L236" s="15"/>
      <c r="M236" s="15"/>
      <c r="N236" s="15"/>
      <c r="P236" s="15"/>
    </row>
    <row r="237" spans="1:16" ht="12.75">
      <c r="A237" s="49"/>
      <c r="B237" s="49"/>
      <c r="C237" s="49"/>
      <c r="D237" s="39"/>
      <c r="E237" s="40"/>
      <c r="H237" s="49"/>
      <c r="I237" s="49"/>
      <c r="J237" s="41"/>
      <c r="K237" s="15"/>
      <c r="L237" s="15"/>
      <c r="M237" s="15"/>
      <c r="N237" s="15"/>
      <c r="P237" s="15"/>
    </row>
    <row r="238" spans="1:16" ht="12.75">
      <c r="A238" s="49"/>
      <c r="B238" s="49"/>
      <c r="C238" s="49"/>
      <c r="D238" s="39"/>
      <c r="E238" s="40"/>
      <c r="H238" s="49"/>
      <c r="I238" s="49"/>
      <c r="J238" s="41"/>
      <c r="K238" s="15"/>
      <c r="L238" s="15"/>
      <c r="M238" s="15"/>
      <c r="N238" s="15"/>
      <c r="P238" s="15"/>
    </row>
    <row r="239" spans="1:16" ht="12.75">
      <c r="A239" s="49"/>
      <c r="B239" s="49"/>
      <c r="C239" s="49"/>
      <c r="D239" s="39"/>
      <c r="E239" s="40"/>
      <c r="H239" s="49"/>
      <c r="I239" s="49"/>
      <c r="J239" s="41"/>
      <c r="K239" s="15"/>
      <c r="L239" s="15"/>
      <c r="M239" s="15"/>
      <c r="N239" s="15"/>
      <c r="P239" s="15"/>
    </row>
    <row r="240" spans="1:16" ht="12.75">
      <c r="A240" s="49"/>
      <c r="B240" s="49"/>
      <c r="C240" s="49"/>
      <c r="D240" s="39"/>
      <c r="E240" s="40"/>
      <c r="H240" s="49"/>
      <c r="I240" s="49"/>
      <c r="J240" s="41"/>
      <c r="K240" s="15"/>
      <c r="L240" s="15"/>
      <c r="M240" s="15"/>
      <c r="N240" s="15"/>
      <c r="P240" s="15"/>
    </row>
    <row r="241" spans="1:16" ht="12.75">
      <c r="A241" s="49"/>
      <c r="B241" s="49"/>
      <c r="C241" s="49"/>
      <c r="D241" s="39"/>
      <c r="E241" s="40"/>
      <c r="H241" s="49"/>
      <c r="I241" s="49"/>
      <c r="J241" s="41"/>
      <c r="K241" s="15"/>
      <c r="L241" s="15"/>
      <c r="M241" s="15"/>
      <c r="N241" s="15"/>
      <c r="P241" s="15"/>
    </row>
    <row r="242" spans="1:16" ht="12.75">
      <c r="A242" s="49"/>
      <c r="B242" s="49"/>
      <c r="C242" s="49"/>
      <c r="D242" s="39"/>
      <c r="E242" s="40"/>
      <c r="H242" s="49"/>
      <c r="I242" s="49"/>
      <c r="J242" s="41"/>
      <c r="K242" s="15"/>
      <c r="L242" s="15"/>
      <c r="M242" s="15"/>
      <c r="N242" s="15"/>
      <c r="P242" s="15"/>
    </row>
    <row r="243" spans="1:16" ht="12.75">
      <c r="A243" s="49"/>
      <c r="B243" s="49"/>
      <c r="C243" s="49"/>
      <c r="D243" s="39"/>
      <c r="E243" s="40"/>
      <c r="H243" s="49"/>
      <c r="I243" s="49"/>
      <c r="J243" s="41"/>
      <c r="K243" s="15"/>
      <c r="L243" s="15"/>
      <c r="M243" s="15"/>
      <c r="N243" s="15"/>
      <c r="P243" s="15"/>
    </row>
    <row r="244" spans="1:16" ht="12.75">
      <c r="A244" s="49"/>
      <c r="B244" s="49"/>
      <c r="C244" s="49"/>
      <c r="D244" s="39"/>
      <c r="E244" s="40"/>
      <c r="H244" s="49"/>
      <c r="I244" s="49"/>
      <c r="J244" s="41"/>
      <c r="K244" s="15"/>
      <c r="L244" s="15"/>
      <c r="M244" s="15"/>
      <c r="N244" s="15"/>
      <c r="P244" s="15"/>
    </row>
    <row r="245" spans="1:16" ht="12.75">
      <c r="A245" s="49"/>
      <c r="B245" s="49"/>
      <c r="C245" s="49"/>
      <c r="D245" s="39"/>
      <c r="E245" s="40"/>
      <c r="H245" s="49"/>
      <c r="I245" s="49"/>
      <c r="J245" s="41"/>
      <c r="K245" s="15"/>
      <c r="L245" s="15"/>
      <c r="M245" s="15"/>
      <c r="N245" s="15"/>
      <c r="P245" s="15"/>
    </row>
    <row r="246" spans="1:16" ht="12.75">
      <c r="A246" s="49"/>
      <c r="B246" s="49"/>
      <c r="C246" s="49"/>
      <c r="D246" s="39"/>
      <c r="E246" s="40"/>
      <c r="H246" s="49"/>
      <c r="I246" s="49"/>
      <c r="J246" s="41"/>
      <c r="K246" s="15"/>
      <c r="L246" s="15"/>
      <c r="M246" s="15"/>
      <c r="N246" s="15"/>
      <c r="P246" s="15"/>
    </row>
    <row r="247" spans="1:16" ht="12.75">
      <c r="A247" s="49"/>
      <c r="B247" s="49"/>
      <c r="C247" s="49"/>
      <c r="D247" s="39"/>
      <c r="E247" s="40"/>
      <c r="H247" s="49"/>
      <c r="I247" s="49"/>
      <c r="J247" s="41"/>
      <c r="K247" s="15"/>
      <c r="L247" s="15"/>
      <c r="M247" s="15"/>
      <c r="N247" s="15"/>
      <c r="P247" s="15"/>
    </row>
    <row r="248" spans="1:16" ht="12.75">
      <c r="A248" s="49"/>
      <c r="B248" s="49"/>
      <c r="C248" s="49"/>
      <c r="D248" s="39"/>
      <c r="E248" s="40"/>
      <c r="H248" s="49"/>
      <c r="I248" s="49"/>
      <c r="J248" s="41"/>
      <c r="K248" s="15"/>
      <c r="L248" s="15"/>
      <c r="M248" s="15"/>
      <c r="N248" s="15"/>
      <c r="P248" s="15"/>
    </row>
    <row r="249" spans="1:16" ht="12.75">
      <c r="A249" s="49"/>
      <c r="B249" s="49"/>
      <c r="C249" s="49"/>
      <c r="D249" s="39"/>
      <c r="E249" s="40"/>
      <c r="H249" s="49"/>
      <c r="I249" s="49"/>
      <c r="J249" s="41"/>
      <c r="K249" s="15"/>
      <c r="L249" s="15"/>
      <c r="M249" s="15"/>
      <c r="N249" s="15"/>
      <c r="P249" s="15"/>
    </row>
    <row r="250" spans="1:16" ht="12.75">
      <c r="A250" s="49"/>
      <c r="B250" s="49"/>
      <c r="C250" s="49"/>
      <c r="D250" s="39"/>
      <c r="E250" s="40"/>
      <c r="H250" s="49"/>
      <c r="I250" s="49"/>
      <c r="J250" s="41"/>
      <c r="K250" s="15"/>
      <c r="L250" s="15"/>
      <c r="M250" s="15"/>
      <c r="N250" s="15"/>
      <c r="P250" s="15"/>
    </row>
    <row r="251" spans="1:16" ht="12.75">
      <c r="A251" s="49"/>
      <c r="B251" s="49"/>
      <c r="C251" s="49"/>
      <c r="D251" s="39"/>
      <c r="E251" s="40"/>
      <c r="H251" s="49"/>
      <c r="I251" s="49"/>
      <c r="J251" s="41"/>
      <c r="K251" s="15"/>
      <c r="L251" s="15"/>
      <c r="M251" s="15"/>
      <c r="N251" s="15"/>
      <c r="P251" s="15"/>
    </row>
    <row r="252" spans="1:16" ht="12.75">
      <c r="A252" s="49"/>
      <c r="B252" s="49"/>
      <c r="C252" s="49"/>
      <c r="D252" s="39"/>
      <c r="E252" s="40"/>
      <c r="H252" s="49"/>
      <c r="I252" s="49"/>
      <c r="J252" s="41"/>
      <c r="K252" s="15"/>
      <c r="L252" s="15"/>
      <c r="M252" s="15"/>
      <c r="N252" s="15"/>
      <c r="P252" s="15"/>
    </row>
    <row r="253" spans="1:16" ht="12.75">
      <c r="A253" s="49"/>
      <c r="B253" s="49"/>
      <c r="C253" s="49"/>
      <c r="D253" s="39"/>
      <c r="E253" s="40"/>
      <c r="H253" s="49"/>
      <c r="I253" s="49"/>
      <c r="J253" s="41"/>
      <c r="K253" s="15"/>
      <c r="L253" s="15"/>
      <c r="M253" s="15"/>
      <c r="N253" s="15"/>
      <c r="P253" s="15"/>
    </row>
    <row r="254" spans="1:16" ht="12.75">
      <c r="A254" s="49"/>
      <c r="B254" s="49"/>
      <c r="C254" s="49"/>
      <c r="D254" s="39"/>
      <c r="E254" s="40"/>
      <c r="H254" s="49"/>
      <c r="I254" s="49"/>
      <c r="J254" s="41"/>
      <c r="K254" s="15"/>
      <c r="L254" s="15"/>
      <c r="M254" s="15"/>
      <c r="N254" s="15"/>
      <c r="P254" s="15"/>
    </row>
    <row r="255" spans="1:16" ht="12.75">
      <c r="A255" s="49"/>
      <c r="B255" s="49"/>
      <c r="C255" s="49"/>
      <c r="D255" s="39"/>
      <c r="E255" s="40"/>
      <c r="H255" s="49"/>
      <c r="I255" s="49"/>
      <c r="J255" s="41"/>
      <c r="K255" s="15"/>
      <c r="L255" s="15"/>
      <c r="M255" s="15"/>
      <c r="N255" s="15"/>
      <c r="P255" s="15"/>
    </row>
    <row r="256" spans="1:16" ht="12.75">
      <c r="A256" s="49"/>
      <c r="B256" s="49"/>
      <c r="C256" s="49"/>
      <c r="D256" s="39"/>
      <c r="E256" s="40"/>
      <c r="H256" s="49"/>
      <c r="I256" s="49"/>
      <c r="J256" s="41"/>
      <c r="K256" s="15"/>
      <c r="L256" s="15"/>
      <c r="M256" s="15"/>
      <c r="N256" s="15"/>
      <c r="P256" s="15"/>
    </row>
    <row r="257" spans="1:16" ht="12.75">
      <c r="A257" s="49"/>
      <c r="B257" s="49"/>
      <c r="C257" s="49"/>
      <c r="D257" s="39"/>
      <c r="E257" s="40"/>
      <c r="H257" s="49"/>
      <c r="I257" s="49"/>
      <c r="J257" s="41"/>
      <c r="K257" s="15"/>
      <c r="L257" s="15"/>
      <c r="M257" s="15"/>
      <c r="N257" s="15"/>
      <c r="P257" s="15"/>
    </row>
    <row r="258" spans="1:16" ht="12.75">
      <c r="A258" s="49"/>
      <c r="B258" s="49"/>
      <c r="C258" s="49"/>
      <c r="D258" s="39"/>
      <c r="E258" s="40"/>
      <c r="H258" s="49"/>
      <c r="I258" s="49"/>
      <c r="J258" s="41"/>
      <c r="K258" s="15"/>
      <c r="L258" s="15"/>
      <c r="M258" s="15"/>
      <c r="N258" s="15"/>
      <c r="P258" s="15"/>
    </row>
    <row r="259" spans="1:16" ht="12.75">
      <c r="A259" s="49"/>
      <c r="B259" s="49"/>
      <c r="C259" s="49"/>
      <c r="D259" s="39"/>
      <c r="E259" s="40"/>
      <c r="H259" s="49"/>
      <c r="I259" s="49"/>
      <c r="J259" s="41"/>
      <c r="K259" s="15"/>
      <c r="L259" s="15"/>
      <c r="M259" s="15"/>
      <c r="N259" s="15"/>
      <c r="P259" s="15"/>
    </row>
    <row r="260" spans="1:16" ht="12.75">
      <c r="A260" s="49"/>
      <c r="B260" s="49"/>
      <c r="C260" s="49"/>
      <c r="D260" s="39"/>
      <c r="E260" s="40"/>
      <c r="H260" s="49"/>
      <c r="I260" s="49"/>
      <c r="J260" s="41"/>
      <c r="K260" s="15"/>
      <c r="L260" s="15"/>
      <c r="M260" s="15"/>
      <c r="N260" s="15"/>
      <c r="P260" s="15"/>
    </row>
    <row r="261" spans="1:16" ht="12.75">
      <c r="A261" s="49"/>
      <c r="B261" s="49"/>
      <c r="C261" s="49"/>
      <c r="D261" s="39"/>
      <c r="E261" s="40"/>
      <c r="H261" s="49"/>
      <c r="I261" s="49"/>
      <c r="J261" s="41"/>
      <c r="K261" s="15"/>
      <c r="L261" s="15"/>
      <c r="M261" s="15"/>
      <c r="N261" s="15"/>
      <c r="P261" s="15"/>
    </row>
    <row r="262" spans="1:16" ht="12.75">
      <c r="A262" s="49"/>
      <c r="B262" s="49"/>
      <c r="C262" s="49"/>
      <c r="D262" s="39"/>
      <c r="E262" s="40"/>
      <c r="H262" s="49"/>
      <c r="I262" s="49"/>
      <c r="J262" s="41"/>
      <c r="K262" s="15"/>
      <c r="L262" s="15"/>
      <c r="M262" s="15"/>
      <c r="N262" s="15"/>
      <c r="P262" s="15"/>
    </row>
    <row r="263" spans="1:16" ht="12.75">
      <c r="A263" s="49"/>
      <c r="B263" s="49"/>
      <c r="C263" s="49"/>
      <c r="D263" s="39"/>
      <c r="E263" s="40"/>
      <c r="H263" s="49"/>
      <c r="I263" s="49"/>
      <c r="J263" s="41"/>
      <c r="K263" s="15"/>
      <c r="L263" s="15"/>
      <c r="M263" s="15"/>
      <c r="N263" s="15"/>
      <c r="P263" s="15"/>
    </row>
    <row r="264" spans="1:16" ht="12.75">
      <c r="A264" s="49"/>
      <c r="B264" s="49"/>
      <c r="C264" s="49"/>
      <c r="D264" s="39"/>
      <c r="E264" s="40"/>
      <c r="H264" s="49"/>
      <c r="I264" s="49"/>
      <c r="J264" s="41"/>
      <c r="K264" s="15"/>
      <c r="L264" s="15"/>
      <c r="M264" s="15"/>
      <c r="N264" s="15"/>
      <c r="P264" s="15"/>
    </row>
    <row r="265" spans="1:16" ht="12.75">
      <c r="A265" s="49"/>
      <c r="B265" s="49"/>
      <c r="C265" s="49"/>
      <c r="D265" s="39"/>
      <c r="E265" s="40"/>
      <c r="H265" s="49"/>
      <c r="I265" s="49"/>
      <c r="J265" s="41"/>
      <c r="K265" s="15"/>
      <c r="L265" s="15"/>
      <c r="M265" s="15"/>
      <c r="N265" s="15"/>
      <c r="P265" s="15"/>
    </row>
    <row r="266" spans="1:16" ht="12.75">
      <c r="A266" s="49"/>
      <c r="B266" s="49"/>
      <c r="C266" s="49"/>
      <c r="D266" s="39"/>
      <c r="E266" s="40"/>
      <c r="H266" s="49"/>
      <c r="I266" s="49"/>
      <c r="J266" s="41"/>
      <c r="K266" s="15"/>
      <c r="L266" s="15"/>
      <c r="M266" s="15"/>
      <c r="N266" s="15"/>
      <c r="P266" s="15"/>
    </row>
    <row r="267" spans="1:16" ht="12.75">
      <c r="A267" s="49"/>
      <c r="B267" s="49"/>
      <c r="C267" s="49"/>
      <c r="D267" s="39"/>
      <c r="E267" s="40"/>
      <c r="H267" s="49"/>
      <c r="I267" s="49"/>
      <c r="J267" s="41"/>
      <c r="K267" s="15"/>
      <c r="L267" s="15"/>
      <c r="M267" s="15"/>
      <c r="N267" s="15"/>
      <c r="P267" s="15"/>
    </row>
    <row r="268" spans="1:16" ht="12.75">
      <c r="A268" s="49"/>
      <c r="B268" s="49"/>
      <c r="C268" s="49"/>
      <c r="D268" s="39"/>
      <c r="E268" s="40"/>
      <c r="H268" s="49"/>
      <c r="I268" s="49"/>
      <c r="J268" s="41"/>
      <c r="K268" s="15"/>
      <c r="L268" s="15"/>
      <c r="M268" s="15"/>
      <c r="N268" s="15"/>
      <c r="P268" s="15"/>
    </row>
    <row r="269" spans="1:16" ht="12.75">
      <c r="A269" s="49"/>
      <c r="B269" s="49"/>
      <c r="C269" s="49"/>
      <c r="D269" s="39"/>
      <c r="E269" s="40"/>
      <c r="H269" s="49"/>
      <c r="I269" s="49"/>
      <c r="J269" s="41"/>
      <c r="K269" s="15"/>
      <c r="L269" s="15"/>
      <c r="M269" s="15"/>
      <c r="N269" s="15"/>
      <c r="P269" s="15"/>
    </row>
    <row r="270" spans="1:16" ht="12.75">
      <c r="A270" s="49"/>
      <c r="B270" s="49"/>
      <c r="C270" s="49"/>
      <c r="D270" s="39"/>
      <c r="E270" s="40"/>
      <c r="H270" s="49"/>
      <c r="I270" s="49"/>
      <c r="J270" s="41"/>
      <c r="K270" s="15"/>
      <c r="L270" s="15"/>
      <c r="M270" s="15"/>
      <c r="N270" s="15"/>
      <c r="P270" s="15"/>
    </row>
    <row r="271" spans="1:16" ht="12.75">
      <c r="A271" s="49"/>
      <c r="B271" s="49"/>
      <c r="C271" s="49"/>
      <c r="D271" s="39"/>
      <c r="E271" s="40"/>
      <c r="H271" s="49"/>
      <c r="I271" s="49"/>
      <c r="J271" s="41"/>
      <c r="K271" s="15"/>
      <c r="L271" s="15"/>
      <c r="M271" s="15"/>
      <c r="N271" s="15"/>
      <c r="P271" s="15"/>
    </row>
    <row r="272" spans="1:16" ht="12.75">
      <c r="A272" s="49"/>
      <c r="B272" s="49"/>
      <c r="C272" s="49"/>
      <c r="D272" s="39"/>
      <c r="E272" s="40"/>
      <c r="H272" s="49"/>
      <c r="I272" s="49"/>
      <c r="J272" s="41"/>
      <c r="K272" s="15"/>
      <c r="L272" s="15"/>
      <c r="M272" s="15"/>
      <c r="N272" s="15"/>
      <c r="P272" s="15"/>
    </row>
    <row r="273" spans="1:16" ht="12.75">
      <c r="A273" s="49"/>
      <c r="B273" s="49"/>
      <c r="C273" s="49"/>
      <c r="D273" s="39"/>
      <c r="E273" s="40"/>
      <c r="H273" s="49"/>
      <c r="I273" s="49"/>
      <c r="J273" s="41"/>
      <c r="K273" s="15"/>
      <c r="L273" s="15"/>
      <c r="M273" s="15"/>
      <c r="N273" s="15"/>
      <c r="P273" s="15"/>
    </row>
    <row r="274" spans="1:16" ht="12.75">
      <c r="A274" s="49"/>
      <c r="B274" s="49"/>
      <c r="C274" s="49"/>
      <c r="D274" s="39"/>
      <c r="E274" s="40"/>
      <c r="H274" s="49"/>
      <c r="I274" s="49"/>
      <c r="J274" s="41"/>
      <c r="K274" s="15"/>
      <c r="L274" s="15"/>
      <c r="M274" s="15"/>
      <c r="N274" s="15"/>
      <c r="P274" s="15"/>
    </row>
    <row r="275" spans="1:16" ht="12.75">
      <c r="A275" s="49"/>
      <c r="B275" s="49"/>
      <c r="C275" s="49"/>
      <c r="D275" s="39"/>
      <c r="E275" s="40"/>
      <c r="H275" s="49"/>
      <c r="I275" s="49"/>
      <c r="J275" s="41"/>
      <c r="K275" s="15"/>
      <c r="L275" s="15"/>
      <c r="M275" s="15"/>
      <c r="N275" s="15"/>
      <c r="P275" s="15"/>
    </row>
    <row r="276" spans="1:16" ht="12.75">
      <c r="A276" s="49"/>
      <c r="B276" s="49"/>
      <c r="C276" s="49"/>
      <c r="D276" s="39"/>
      <c r="E276" s="40"/>
      <c r="H276" s="49"/>
      <c r="I276" s="49"/>
      <c r="J276" s="41"/>
      <c r="K276" s="15"/>
      <c r="L276" s="15"/>
      <c r="M276" s="15"/>
      <c r="N276" s="15"/>
      <c r="P276" s="15"/>
    </row>
    <row r="277" spans="1:16" ht="12.75">
      <c r="A277" s="49"/>
      <c r="B277" s="49"/>
      <c r="C277" s="49"/>
      <c r="D277" s="39"/>
      <c r="E277" s="40"/>
      <c r="H277" s="49"/>
      <c r="I277" s="49"/>
      <c r="J277" s="41"/>
      <c r="K277" s="15"/>
      <c r="L277" s="15"/>
      <c r="M277" s="15"/>
      <c r="N277" s="15"/>
      <c r="P277" s="15"/>
    </row>
    <row r="278" spans="1:16" ht="12.75">
      <c r="A278" s="49"/>
      <c r="B278" s="49"/>
      <c r="C278" s="49"/>
      <c r="D278" s="39"/>
      <c r="E278" s="40"/>
      <c r="H278" s="49"/>
      <c r="I278" s="49"/>
      <c r="J278" s="41"/>
      <c r="K278" s="15"/>
      <c r="L278" s="15"/>
      <c r="M278" s="15"/>
      <c r="N278" s="15"/>
      <c r="P278" s="15"/>
    </row>
    <row r="279" spans="1:16" ht="12.75">
      <c r="A279" s="49"/>
      <c r="B279" s="49"/>
      <c r="C279" s="49"/>
      <c r="D279" s="39"/>
      <c r="E279" s="40"/>
      <c r="H279" s="49"/>
      <c r="I279" s="49"/>
      <c r="J279" s="41"/>
      <c r="K279" s="15"/>
      <c r="L279" s="15"/>
      <c r="M279" s="15"/>
      <c r="N279" s="15"/>
      <c r="P279" s="15"/>
    </row>
    <row r="280" spans="1:16" ht="12.75">
      <c r="A280" s="49"/>
      <c r="B280" s="49"/>
      <c r="C280" s="49"/>
      <c r="D280" s="39"/>
      <c r="E280" s="40"/>
      <c r="H280" s="49"/>
      <c r="I280" s="49"/>
      <c r="J280" s="41"/>
      <c r="K280" s="15"/>
      <c r="L280" s="15"/>
      <c r="M280" s="15"/>
      <c r="N280" s="15"/>
      <c r="P280" s="15"/>
    </row>
    <row r="281" spans="1:16" ht="12.75">
      <c r="A281" s="49"/>
      <c r="B281" s="49"/>
      <c r="C281" s="49"/>
      <c r="D281" s="39"/>
      <c r="E281" s="40"/>
      <c r="H281" s="49"/>
      <c r="I281" s="49"/>
      <c r="J281" s="41"/>
      <c r="K281" s="15"/>
      <c r="L281" s="15"/>
      <c r="M281" s="15"/>
      <c r="N281" s="15"/>
      <c r="P281" s="15"/>
    </row>
    <row r="282" spans="1:16" ht="12.75">
      <c r="A282" s="49"/>
      <c r="B282" s="49"/>
      <c r="C282" s="49"/>
      <c r="D282" s="39"/>
      <c r="E282" s="40"/>
      <c r="H282" s="49"/>
      <c r="I282" s="49"/>
      <c r="J282" s="41"/>
      <c r="K282" s="15"/>
      <c r="L282" s="15"/>
      <c r="M282" s="15"/>
      <c r="N282" s="15"/>
      <c r="P282" s="15"/>
    </row>
    <row r="283" spans="1:16" ht="12.75">
      <c r="A283" s="49"/>
      <c r="B283" s="49"/>
      <c r="C283" s="49"/>
      <c r="D283" s="39"/>
      <c r="E283" s="40"/>
      <c r="H283" s="49"/>
      <c r="I283" s="49"/>
      <c r="J283" s="41"/>
      <c r="K283" s="15"/>
      <c r="L283" s="15"/>
      <c r="M283" s="15"/>
      <c r="N283" s="15"/>
      <c r="P283" s="15"/>
    </row>
    <row r="284" spans="1:16" ht="12.75">
      <c r="A284" s="49"/>
      <c r="B284" s="49"/>
      <c r="C284" s="49"/>
      <c r="D284" s="39"/>
      <c r="E284" s="40"/>
      <c r="H284" s="49"/>
      <c r="I284" s="49"/>
      <c r="J284" s="41"/>
      <c r="K284" s="15"/>
      <c r="L284" s="15"/>
      <c r="M284" s="15"/>
      <c r="N284" s="15"/>
      <c r="P284" s="15"/>
    </row>
    <row r="285" spans="1:16" ht="12.75">
      <c r="A285" s="49"/>
      <c r="B285" s="49"/>
      <c r="C285" s="49"/>
      <c r="D285" s="39"/>
      <c r="E285" s="40"/>
      <c r="H285" s="49"/>
      <c r="I285" s="49"/>
      <c r="J285" s="41"/>
      <c r="K285" s="15"/>
      <c r="L285" s="15"/>
      <c r="M285" s="15"/>
      <c r="N285" s="15"/>
      <c r="P285" s="15"/>
    </row>
    <row r="286" spans="1:16" ht="12.75">
      <c r="A286" s="49"/>
      <c r="B286" s="49"/>
      <c r="C286" s="49"/>
      <c r="D286" s="39"/>
      <c r="E286" s="40"/>
      <c r="H286" s="49"/>
      <c r="I286" s="49"/>
      <c r="J286" s="41"/>
      <c r="K286" s="15"/>
      <c r="L286" s="15"/>
      <c r="M286" s="15"/>
      <c r="N286" s="15"/>
      <c r="P286" s="15"/>
    </row>
    <row r="287" spans="1:16" ht="12.75">
      <c r="A287" s="49"/>
      <c r="B287" s="49"/>
      <c r="C287" s="49"/>
      <c r="D287" s="39"/>
      <c r="E287" s="40"/>
      <c r="H287" s="49"/>
      <c r="I287" s="49"/>
      <c r="J287" s="41"/>
      <c r="K287" s="15"/>
      <c r="L287" s="15"/>
      <c r="M287" s="15"/>
      <c r="N287" s="15"/>
      <c r="P287" s="15"/>
    </row>
    <row r="288" spans="1:16" ht="12.75">
      <c r="A288" s="49"/>
      <c r="B288" s="49"/>
      <c r="C288" s="49"/>
      <c r="D288" s="39"/>
      <c r="E288" s="40"/>
      <c r="H288" s="49"/>
      <c r="I288" s="49"/>
      <c r="J288" s="41"/>
      <c r="K288" s="15"/>
      <c r="L288" s="15"/>
      <c r="M288" s="15"/>
      <c r="N288" s="15"/>
      <c r="P288" s="15"/>
    </row>
    <row r="289" spans="1:16" ht="12.75">
      <c r="A289" s="49"/>
      <c r="B289" s="49"/>
      <c r="C289" s="49"/>
      <c r="D289" s="39"/>
      <c r="E289" s="40"/>
      <c r="H289" s="49"/>
      <c r="I289" s="49"/>
      <c r="J289" s="41"/>
      <c r="K289" s="15"/>
      <c r="L289" s="15"/>
      <c r="M289" s="15"/>
      <c r="N289" s="15"/>
      <c r="P289" s="15"/>
    </row>
    <row r="290" spans="1:16" ht="12.75">
      <c r="A290" s="49"/>
      <c r="B290" s="49"/>
      <c r="C290" s="49"/>
      <c r="D290" s="39"/>
      <c r="E290" s="40"/>
      <c r="H290" s="49"/>
      <c r="I290" s="49"/>
      <c r="J290" s="41"/>
      <c r="K290" s="15"/>
      <c r="L290" s="15"/>
      <c r="M290" s="15"/>
      <c r="N290" s="15"/>
      <c r="P290" s="15"/>
    </row>
    <row r="291" spans="1:16" ht="12.75">
      <c r="A291" s="49"/>
      <c r="B291" s="49"/>
      <c r="C291" s="49"/>
      <c r="D291" s="39"/>
      <c r="E291" s="40"/>
      <c r="H291" s="49"/>
      <c r="I291" s="49"/>
      <c r="J291" s="41"/>
      <c r="K291" s="15"/>
      <c r="L291" s="15"/>
      <c r="M291" s="15"/>
      <c r="N291" s="15"/>
      <c r="P291" s="15"/>
    </row>
    <row r="292" spans="1:16" ht="12.75">
      <c r="A292" s="49"/>
      <c r="B292" s="49"/>
      <c r="C292" s="49"/>
      <c r="D292" s="39"/>
      <c r="E292" s="40"/>
      <c r="H292" s="49"/>
      <c r="I292" s="49"/>
      <c r="J292" s="41"/>
      <c r="K292" s="15"/>
      <c r="L292" s="15"/>
      <c r="M292" s="15"/>
      <c r="N292" s="15"/>
      <c r="P292" s="15"/>
    </row>
    <row r="293" spans="1:16" ht="12.75">
      <c r="A293" s="49"/>
      <c r="B293" s="49"/>
      <c r="C293" s="49"/>
      <c r="D293" s="39"/>
      <c r="E293" s="40"/>
      <c r="H293" s="49"/>
      <c r="I293" s="49"/>
      <c r="J293" s="41"/>
      <c r="K293" s="15"/>
      <c r="L293" s="15"/>
      <c r="M293" s="15"/>
      <c r="N293" s="15"/>
      <c r="P293" s="15"/>
    </row>
    <row r="294" spans="1:16" ht="12.75">
      <c r="A294" s="49"/>
      <c r="B294" s="49"/>
      <c r="C294" s="49"/>
      <c r="D294" s="39"/>
      <c r="E294" s="40"/>
      <c r="H294" s="49"/>
      <c r="I294" s="49"/>
      <c r="J294" s="41"/>
      <c r="K294" s="15"/>
      <c r="L294" s="15"/>
      <c r="M294" s="15"/>
      <c r="N294" s="15"/>
      <c r="P294" s="15"/>
    </row>
    <row r="295" spans="1:16" ht="12.75">
      <c r="A295" s="49"/>
      <c r="B295" s="49"/>
      <c r="C295" s="49"/>
      <c r="D295" s="39"/>
      <c r="E295" s="40"/>
      <c r="H295" s="49"/>
      <c r="I295" s="49"/>
      <c r="J295" s="41"/>
      <c r="K295" s="15"/>
      <c r="L295" s="15"/>
      <c r="M295" s="15"/>
      <c r="N295" s="15"/>
      <c r="P295" s="15"/>
    </row>
    <row r="296" spans="1:16" ht="12.75">
      <c r="A296" s="49"/>
      <c r="B296" s="49"/>
      <c r="C296" s="49"/>
      <c r="D296" s="39"/>
      <c r="E296" s="40"/>
      <c r="H296" s="49"/>
      <c r="I296" s="49"/>
      <c r="J296" s="41"/>
      <c r="K296" s="15"/>
      <c r="L296" s="15"/>
      <c r="M296" s="15"/>
      <c r="N296" s="15"/>
      <c r="P296" s="15"/>
    </row>
    <row r="297" spans="1:16" ht="12.75">
      <c r="A297" s="49"/>
      <c r="B297" s="49"/>
      <c r="C297" s="49"/>
      <c r="D297" s="39"/>
      <c r="E297" s="40"/>
      <c r="H297" s="49"/>
      <c r="I297" s="49"/>
      <c r="J297" s="41"/>
      <c r="K297" s="15"/>
      <c r="L297" s="15"/>
      <c r="M297" s="15"/>
      <c r="N297" s="15"/>
      <c r="P297" s="15"/>
    </row>
    <row r="298" spans="1:16" ht="12.75">
      <c r="A298" s="49"/>
      <c r="B298" s="49"/>
      <c r="C298" s="49"/>
      <c r="D298" s="39"/>
      <c r="E298" s="40"/>
      <c r="H298" s="49"/>
      <c r="I298" s="49"/>
      <c r="J298" s="41"/>
      <c r="K298" s="15"/>
      <c r="L298" s="15"/>
      <c r="M298" s="15"/>
      <c r="N298" s="15"/>
      <c r="P298" s="15"/>
    </row>
    <row r="299" spans="1:16" ht="12.75">
      <c r="A299" s="49"/>
      <c r="B299" s="49"/>
      <c r="C299" s="49"/>
      <c r="D299" s="39"/>
      <c r="E299" s="40"/>
      <c r="H299" s="49"/>
      <c r="I299" s="49"/>
      <c r="J299" s="41"/>
      <c r="K299" s="15"/>
      <c r="L299" s="15"/>
      <c r="M299" s="15"/>
      <c r="N299" s="15"/>
      <c r="P299" s="15"/>
    </row>
    <row r="300" spans="1:16" ht="12.75">
      <c r="A300" s="49"/>
      <c r="B300" s="49"/>
      <c r="C300" s="49"/>
      <c r="D300" s="39"/>
      <c r="E300" s="40"/>
      <c r="H300" s="49"/>
      <c r="I300" s="49"/>
      <c r="J300" s="41"/>
      <c r="K300" s="15"/>
      <c r="L300" s="15"/>
      <c r="M300" s="15"/>
      <c r="N300" s="15"/>
      <c r="P300" s="15"/>
    </row>
    <row r="301" spans="1:16" ht="12.75">
      <c r="A301" s="49"/>
      <c r="B301" s="49"/>
      <c r="C301" s="49"/>
      <c r="D301" s="39"/>
      <c r="E301" s="40"/>
      <c r="H301" s="49"/>
      <c r="I301" s="49"/>
      <c r="J301" s="41"/>
      <c r="K301" s="15"/>
      <c r="L301" s="15"/>
      <c r="M301" s="15"/>
      <c r="N301" s="15"/>
      <c r="P301" s="15"/>
    </row>
    <row r="302" spans="1:16" ht="12.75">
      <c r="A302" s="49"/>
      <c r="B302" s="49"/>
      <c r="C302" s="49"/>
      <c r="D302" s="39"/>
      <c r="E302" s="40"/>
      <c r="H302" s="49"/>
      <c r="I302" s="49"/>
      <c r="J302" s="41"/>
      <c r="K302" s="15"/>
      <c r="L302" s="15"/>
      <c r="M302" s="15"/>
      <c r="N302" s="15"/>
      <c r="P302" s="15"/>
    </row>
    <row r="303" spans="1:16" ht="12.75">
      <c r="A303" s="49"/>
      <c r="B303" s="49"/>
      <c r="C303" s="49"/>
      <c r="D303" s="39"/>
      <c r="E303" s="40"/>
      <c r="H303" s="49"/>
      <c r="I303" s="49"/>
      <c r="J303" s="41"/>
      <c r="K303" s="15"/>
      <c r="L303" s="15"/>
      <c r="M303" s="15"/>
      <c r="N303" s="15"/>
      <c r="P303" s="15"/>
    </row>
    <row r="304" spans="1:16" ht="12.75">
      <c r="A304" s="49"/>
      <c r="B304" s="49"/>
      <c r="C304" s="49"/>
      <c r="D304" s="39"/>
      <c r="E304" s="40"/>
      <c r="H304" s="49"/>
      <c r="I304" s="49"/>
      <c r="J304" s="41"/>
      <c r="K304" s="15"/>
      <c r="L304" s="15"/>
      <c r="M304" s="15"/>
      <c r="N304" s="15"/>
      <c r="P304" s="15"/>
    </row>
    <row r="305" spans="1:16" ht="12.75">
      <c r="A305" s="49"/>
      <c r="B305" s="49"/>
      <c r="C305" s="49"/>
      <c r="D305" s="39"/>
      <c r="E305" s="40"/>
      <c r="H305" s="49"/>
      <c r="I305" s="49"/>
      <c r="J305" s="41"/>
      <c r="K305" s="15"/>
      <c r="L305" s="15"/>
      <c r="M305" s="15"/>
      <c r="N305" s="15"/>
      <c r="P305" s="15"/>
    </row>
    <row r="306" spans="1:16" ht="12.75">
      <c r="A306" s="49"/>
      <c r="B306" s="49"/>
      <c r="C306" s="49"/>
      <c r="D306" s="39"/>
      <c r="E306" s="40"/>
      <c r="H306" s="49"/>
      <c r="I306" s="49"/>
      <c r="J306" s="41"/>
      <c r="K306" s="15"/>
      <c r="L306" s="15"/>
      <c r="M306" s="15"/>
      <c r="N306" s="15"/>
      <c r="P306" s="15"/>
    </row>
    <row r="307" spans="1:16" ht="12.75">
      <c r="A307" s="49"/>
      <c r="B307" s="49"/>
      <c r="C307" s="49"/>
      <c r="D307" s="39"/>
      <c r="E307" s="40"/>
      <c r="H307" s="49"/>
      <c r="I307" s="49"/>
      <c r="J307" s="41"/>
      <c r="K307" s="15"/>
      <c r="L307" s="15"/>
      <c r="M307" s="15"/>
      <c r="N307" s="15"/>
      <c r="P307" s="15"/>
    </row>
    <row r="308" spans="1:16" ht="12.75">
      <c r="A308" s="49"/>
      <c r="B308" s="49"/>
      <c r="C308" s="49"/>
      <c r="D308" s="39"/>
      <c r="E308" s="40"/>
      <c r="H308" s="49"/>
      <c r="I308" s="49"/>
      <c r="J308" s="41"/>
      <c r="K308" s="15"/>
      <c r="L308" s="15"/>
      <c r="M308" s="15"/>
      <c r="N308" s="15"/>
      <c r="P308" s="15"/>
    </row>
    <row r="309" spans="1:16" ht="12.75">
      <c r="A309" s="49"/>
      <c r="B309" s="49"/>
      <c r="C309" s="49"/>
      <c r="D309" s="39"/>
      <c r="E309" s="40"/>
      <c r="H309" s="49"/>
      <c r="I309" s="49"/>
      <c r="J309" s="41"/>
      <c r="K309" s="15"/>
      <c r="L309" s="15"/>
      <c r="M309" s="15"/>
      <c r="N309" s="15"/>
      <c r="P309" s="15"/>
    </row>
    <row r="310" spans="1:16" ht="12.75">
      <c r="A310" s="49"/>
      <c r="B310" s="49"/>
      <c r="C310" s="49"/>
      <c r="D310" s="39"/>
      <c r="E310" s="40"/>
      <c r="H310" s="49"/>
      <c r="I310" s="49"/>
      <c r="J310" s="41"/>
      <c r="K310" s="15"/>
      <c r="L310" s="15"/>
      <c r="M310" s="15"/>
      <c r="N310" s="15"/>
      <c r="P310" s="15"/>
    </row>
    <row r="311" spans="1:16" ht="12.75">
      <c r="A311" s="49"/>
      <c r="B311" s="49"/>
      <c r="C311" s="49"/>
      <c r="D311" s="39"/>
      <c r="E311" s="40"/>
      <c r="H311" s="49"/>
      <c r="I311" s="49"/>
      <c r="J311" s="41"/>
      <c r="K311" s="15"/>
      <c r="L311" s="15"/>
      <c r="M311" s="15"/>
      <c r="N311" s="15"/>
      <c r="P311" s="15"/>
    </row>
    <row r="312" spans="1:16" ht="12.75">
      <c r="A312" s="49"/>
      <c r="B312" s="49"/>
      <c r="C312" s="49"/>
      <c r="D312" s="39"/>
      <c r="E312" s="40"/>
      <c r="H312" s="49"/>
      <c r="I312" s="49"/>
      <c r="J312" s="41"/>
      <c r="K312" s="15"/>
      <c r="L312" s="15"/>
      <c r="M312" s="15"/>
      <c r="N312" s="15"/>
      <c r="P312" s="15"/>
    </row>
    <row r="313" spans="1:16" ht="12.75">
      <c r="A313" s="49"/>
      <c r="B313" s="49"/>
      <c r="C313" s="49"/>
      <c r="D313" s="39"/>
      <c r="E313" s="40"/>
      <c r="H313" s="49"/>
      <c r="I313" s="49"/>
      <c r="J313" s="41"/>
      <c r="K313" s="15"/>
      <c r="L313" s="15"/>
      <c r="M313" s="15"/>
      <c r="N313" s="15"/>
      <c r="P313" s="15"/>
    </row>
    <row r="314" spans="1:16" ht="12.75">
      <c r="A314" s="49"/>
      <c r="B314" s="49"/>
      <c r="C314" s="49"/>
      <c r="D314" s="39"/>
      <c r="E314" s="40"/>
      <c r="H314" s="49"/>
      <c r="I314" s="49"/>
      <c r="J314" s="41"/>
      <c r="K314" s="15"/>
      <c r="L314" s="15"/>
      <c r="M314" s="15"/>
      <c r="N314" s="15"/>
      <c r="P314" s="15"/>
    </row>
    <row r="315" spans="1:16" ht="12.75">
      <c r="A315" s="49"/>
      <c r="B315" s="49"/>
      <c r="C315" s="49"/>
      <c r="D315" s="39"/>
      <c r="E315" s="40"/>
      <c r="H315" s="49"/>
      <c r="I315" s="49"/>
      <c r="J315" s="41"/>
      <c r="K315" s="15"/>
      <c r="L315" s="15"/>
      <c r="M315" s="15"/>
      <c r="N315" s="15"/>
      <c r="P315" s="15"/>
    </row>
    <row r="316" spans="1:16" ht="12.75">
      <c r="A316" s="49"/>
      <c r="B316" s="49"/>
      <c r="C316" s="49"/>
      <c r="D316" s="39"/>
      <c r="E316" s="40"/>
      <c r="H316" s="49"/>
      <c r="I316" s="49"/>
      <c r="J316" s="41"/>
      <c r="K316" s="15"/>
      <c r="L316" s="15"/>
      <c r="M316" s="15"/>
      <c r="N316" s="15"/>
      <c r="P316" s="15"/>
    </row>
    <row r="317" spans="1:16" ht="12.75">
      <c r="A317" s="49"/>
      <c r="B317" s="49"/>
      <c r="C317" s="49"/>
      <c r="D317" s="39"/>
      <c r="E317" s="40"/>
      <c r="H317" s="49"/>
      <c r="I317" s="49"/>
      <c r="J317" s="41"/>
      <c r="K317" s="15"/>
      <c r="L317" s="15"/>
      <c r="M317" s="15"/>
      <c r="N317" s="15"/>
      <c r="P317" s="15"/>
    </row>
    <row r="318" spans="1:16" ht="12.75">
      <c r="A318" s="49"/>
      <c r="B318" s="49"/>
      <c r="C318" s="49"/>
      <c r="D318" s="39"/>
      <c r="E318" s="40"/>
      <c r="H318" s="49"/>
      <c r="I318" s="49"/>
      <c r="J318" s="41"/>
      <c r="K318" s="15"/>
      <c r="L318" s="15"/>
      <c r="M318" s="15"/>
      <c r="N318" s="15"/>
      <c r="P318" s="15"/>
    </row>
    <row r="319" spans="1:16" ht="12.75">
      <c r="A319" s="49"/>
      <c r="B319" s="49"/>
      <c r="C319" s="49"/>
      <c r="D319" s="39"/>
      <c r="E319" s="40"/>
      <c r="H319" s="49"/>
      <c r="I319" s="49"/>
      <c r="J319" s="41"/>
      <c r="K319" s="15"/>
      <c r="L319" s="15"/>
      <c r="M319" s="15"/>
      <c r="N319" s="15"/>
      <c r="P319" s="15"/>
    </row>
    <row r="320" spans="1:16" ht="12.75">
      <c r="A320" s="49"/>
      <c r="B320" s="49"/>
      <c r="C320" s="49"/>
      <c r="D320" s="39"/>
      <c r="E320" s="40"/>
      <c r="H320" s="49"/>
      <c r="I320" s="49"/>
      <c r="J320" s="41"/>
      <c r="K320" s="15"/>
      <c r="L320" s="15"/>
      <c r="M320" s="15"/>
      <c r="N320" s="15"/>
      <c r="P320" s="15"/>
    </row>
    <row r="321" spans="1:16" ht="12.75">
      <c r="A321" s="49"/>
      <c r="B321" s="49"/>
      <c r="C321" s="49"/>
      <c r="D321" s="39"/>
      <c r="E321" s="40"/>
      <c r="H321" s="49"/>
      <c r="I321" s="49"/>
      <c r="J321" s="41"/>
      <c r="K321" s="15"/>
      <c r="L321" s="15"/>
      <c r="M321" s="15"/>
      <c r="N321" s="15"/>
      <c r="P321" s="15"/>
    </row>
    <row r="322" spans="1:16" ht="12.75">
      <c r="A322" s="49"/>
      <c r="B322" s="49"/>
      <c r="C322" s="49"/>
      <c r="D322" s="39"/>
      <c r="E322" s="40"/>
      <c r="H322" s="49"/>
      <c r="I322" s="49"/>
      <c r="J322" s="41"/>
      <c r="K322" s="15"/>
      <c r="L322" s="15"/>
      <c r="M322" s="15"/>
      <c r="N322" s="15"/>
      <c r="P322" s="15"/>
    </row>
    <row r="323" spans="1:16" ht="12.75">
      <c r="A323" s="49"/>
      <c r="B323" s="49"/>
      <c r="C323" s="49"/>
      <c r="D323" s="39"/>
      <c r="E323" s="40"/>
      <c r="H323" s="49"/>
      <c r="I323" s="49"/>
      <c r="J323" s="41"/>
      <c r="K323" s="15"/>
      <c r="L323" s="15"/>
      <c r="M323" s="15"/>
      <c r="N323" s="15"/>
      <c r="P323" s="15"/>
    </row>
    <row r="324" spans="1:16" ht="12.75">
      <c r="A324" s="49"/>
      <c r="B324" s="49"/>
      <c r="C324" s="49"/>
      <c r="D324" s="39"/>
      <c r="E324" s="40"/>
      <c r="H324" s="49"/>
      <c r="I324" s="49"/>
      <c r="J324" s="41"/>
      <c r="K324" s="15"/>
      <c r="L324" s="15"/>
      <c r="M324" s="15"/>
      <c r="N324" s="15"/>
      <c r="P324" s="15"/>
    </row>
    <row r="325" spans="1:16" ht="12.75">
      <c r="A325" s="49"/>
      <c r="B325" s="49"/>
      <c r="C325" s="49"/>
      <c r="D325" s="39"/>
      <c r="E325" s="40"/>
      <c r="H325" s="49"/>
      <c r="I325" s="49"/>
      <c r="J325" s="41"/>
      <c r="K325" s="15"/>
      <c r="L325" s="15"/>
      <c r="M325" s="15"/>
      <c r="N325" s="15"/>
      <c r="P325" s="15"/>
    </row>
    <row r="326" spans="1:16" ht="12.75">
      <c r="A326" s="49"/>
      <c r="B326" s="49"/>
      <c r="C326" s="49"/>
      <c r="D326" s="39"/>
      <c r="E326" s="40"/>
      <c r="H326" s="49"/>
      <c r="I326" s="49"/>
      <c r="J326" s="41"/>
      <c r="K326" s="15"/>
      <c r="L326" s="15"/>
      <c r="M326" s="15"/>
      <c r="N326" s="15"/>
      <c r="P326" s="15"/>
    </row>
    <row r="327" spans="1:16" ht="12.75">
      <c r="A327" s="49"/>
      <c r="B327" s="49"/>
      <c r="C327" s="49"/>
      <c r="D327" s="39"/>
      <c r="E327" s="40"/>
      <c r="H327" s="49"/>
      <c r="I327" s="49"/>
      <c r="J327" s="41"/>
      <c r="K327" s="15"/>
      <c r="L327" s="15"/>
      <c r="M327" s="15"/>
      <c r="N327" s="15"/>
      <c r="P327" s="15"/>
    </row>
    <row r="328" spans="1:16" ht="12.75">
      <c r="A328" s="49"/>
      <c r="B328" s="49"/>
      <c r="C328" s="49"/>
      <c r="D328" s="39"/>
      <c r="E328" s="40"/>
      <c r="H328" s="49"/>
      <c r="I328" s="49"/>
      <c r="J328" s="41"/>
      <c r="K328" s="15"/>
      <c r="L328" s="15"/>
      <c r="M328" s="15"/>
      <c r="N328" s="15"/>
      <c r="P328" s="15"/>
    </row>
    <row r="329" spans="1:16" ht="12.75">
      <c r="A329" s="49"/>
      <c r="B329" s="49"/>
      <c r="C329" s="49"/>
      <c r="D329" s="39"/>
      <c r="E329" s="40"/>
      <c r="H329" s="49"/>
      <c r="I329" s="49"/>
      <c r="J329" s="41"/>
      <c r="K329" s="15"/>
      <c r="L329" s="15"/>
      <c r="M329" s="15"/>
      <c r="N329" s="15"/>
      <c r="P329" s="15"/>
    </row>
    <row r="330" spans="1:16" ht="12.75">
      <c r="A330" s="49"/>
      <c r="B330" s="49"/>
      <c r="C330" s="49"/>
      <c r="D330" s="39"/>
      <c r="E330" s="40"/>
      <c r="H330" s="49"/>
      <c r="I330" s="49"/>
      <c r="J330" s="41"/>
      <c r="K330" s="15"/>
      <c r="L330" s="15"/>
      <c r="M330" s="15"/>
      <c r="N330" s="15"/>
      <c r="P330" s="15"/>
    </row>
    <row r="331" spans="1:16" ht="12.75">
      <c r="A331" s="49"/>
      <c r="B331" s="49"/>
      <c r="C331" s="49"/>
      <c r="D331" s="39"/>
      <c r="E331" s="40"/>
      <c r="H331" s="49"/>
      <c r="I331" s="49"/>
      <c r="J331" s="41"/>
      <c r="K331" s="15"/>
      <c r="L331" s="15"/>
      <c r="M331" s="15"/>
      <c r="N331" s="15"/>
      <c r="P331" s="15"/>
    </row>
    <row r="332" spans="1:16" ht="12.75">
      <c r="A332" s="49"/>
      <c r="B332" s="49"/>
      <c r="C332" s="49"/>
      <c r="D332" s="39"/>
      <c r="E332" s="40"/>
      <c r="H332" s="49"/>
      <c r="I332" s="49"/>
      <c r="J332" s="41"/>
      <c r="K332" s="15"/>
      <c r="L332" s="15"/>
      <c r="M332" s="15"/>
      <c r="N332" s="15"/>
      <c r="P332" s="15"/>
    </row>
    <row r="333" spans="1:16" ht="12.75">
      <c r="A333" s="49"/>
      <c r="B333" s="49"/>
      <c r="C333" s="49"/>
      <c r="D333" s="39"/>
      <c r="E333" s="40"/>
      <c r="H333" s="49"/>
      <c r="I333" s="49"/>
      <c r="J333" s="41"/>
      <c r="K333" s="15"/>
      <c r="L333" s="15"/>
      <c r="M333" s="15"/>
      <c r="N333" s="15"/>
      <c r="P333" s="15"/>
    </row>
    <row r="334" spans="1:16" ht="12.75">
      <c r="A334" s="49"/>
      <c r="B334" s="49"/>
      <c r="C334" s="49"/>
      <c r="D334" s="39"/>
      <c r="E334" s="40"/>
      <c r="H334" s="49"/>
      <c r="I334" s="49"/>
      <c r="J334" s="41"/>
      <c r="K334" s="15"/>
      <c r="L334" s="15"/>
      <c r="M334" s="15"/>
      <c r="N334" s="15"/>
      <c r="P334" s="15"/>
    </row>
    <row r="335" spans="1:16" ht="12.75">
      <c r="A335" s="49"/>
      <c r="B335" s="49"/>
      <c r="C335" s="49"/>
      <c r="D335" s="39"/>
      <c r="E335" s="40"/>
      <c r="H335" s="49"/>
      <c r="I335" s="49"/>
      <c r="J335" s="41"/>
      <c r="K335" s="15"/>
      <c r="L335" s="15"/>
      <c r="M335" s="15"/>
      <c r="N335" s="15"/>
      <c r="P335" s="15"/>
    </row>
    <row r="336" spans="1:16" ht="12.75">
      <c r="A336" s="49"/>
      <c r="B336" s="49"/>
      <c r="C336" s="49"/>
      <c r="D336" s="39"/>
      <c r="E336" s="40"/>
      <c r="H336" s="49"/>
      <c r="I336" s="49"/>
      <c r="J336" s="41"/>
      <c r="K336" s="15"/>
      <c r="L336" s="15"/>
      <c r="M336" s="15"/>
      <c r="N336" s="15"/>
      <c r="P336" s="15"/>
    </row>
    <row r="337" spans="1:16" ht="12.75">
      <c r="A337" s="49"/>
      <c r="B337" s="49"/>
      <c r="C337" s="49"/>
      <c r="D337" s="39"/>
      <c r="E337" s="40"/>
      <c r="H337" s="49"/>
      <c r="I337" s="49"/>
      <c r="J337" s="41"/>
      <c r="K337" s="15"/>
      <c r="L337" s="15"/>
      <c r="M337" s="15"/>
      <c r="N337" s="15"/>
      <c r="P337" s="15"/>
    </row>
    <row r="338" spans="1:16" ht="12.75">
      <c r="A338" s="49"/>
      <c r="B338" s="49"/>
      <c r="C338" s="49"/>
      <c r="D338" s="39"/>
      <c r="E338" s="40"/>
      <c r="H338" s="49"/>
      <c r="I338" s="49"/>
      <c r="J338" s="41"/>
      <c r="K338" s="15"/>
      <c r="L338" s="15"/>
      <c r="M338" s="15"/>
      <c r="N338" s="15"/>
      <c r="P338" s="15"/>
    </row>
    <row r="339" spans="1:16" ht="12.75">
      <c r="A339" s="49"/>
      <c r="B339" s="49"/>
      <c r="C339" s="49"/>
      <c r="D339" s="39"/>
      <c r="E339" s="40"/>
      <c r="H339" s="49"/>
      <c r="I339" s="49"/>
      <c r="J339" s="41"/>
      <c r="K339" s="15"/>
      <c r="L339" s="15"/>
      <c r="M339" s="15"/>
      <c r="N339" s="15"/>
      <c r="P339" s="15"/>
    </row>
    <row r="340" spans="1:16" ht="12.75">
      <c r="A340" s="49"/>
      <c r="B340" s="49"/>
      <c r="C340" s="49"/>
      <c r="D340" s="39"/>
      <c r="E340" s="40"/>
      <c r="H340" s="49"/>
      <c r="I340" s="49"/>
      <c r="J340" s="41"/>
      <c r="K340" s="15"/>
      <c r="L340" s="15"/>
      <c r="M340" s="15"/>
      <c r="N340" s="15"/>
      <c r="P340" s="15"/>
    </row>
    <row r="341" spans="1:16" ht="12.75">
      <c r="A341" s="49"/>
      <c r="B341" s="49"/>
      <c r="C341" s="49"/>
      <c r="D341" s="39"/>
      <c r="E341" s="40"/>
      <c r="H341" s="49"/>
      <c r="I341" s="49"/>
      <c r="J341" s="41"/>
      <c r="K341" s="15"/>
      <c r="L341" s="15"/>
      <c r="M341" s="15"/>
      <c r="N341" s="15"/>
      <c r="P341" s="15"/>
    </row>
    <row r="342" spans="1:16" ht="12.75">
      <c r="A342" s="49"/>
      <c r="B342" s="49"/>
      <c r="C342" s="49"/>
      <c r="D342" s="39"/>
      <c r="E342" s="40"/>
      <c r="H342" s="49"/>
      <c r="I342" s="49"/>
      <c r="J342" s="41"/>
      <c r="K342" s="15"/>
      <c r="L342" s="15"/>
      <c r="M342" s="15"/>
      <c r="N342" s="15"/>
      <c r="P342" s="15"/>
    </row>
    <row r="343" spans="1:16" ht="12.75">
      <c r="A343" s="49"/>
      <c r="B343" s="49"/>
      <c r="C343" s="49"/>
      <c r="D343" s="39"/>
      <c r="E343" s="40"/>
      <c r="H343" s="49"/>
      <c r="I343" s="49"/>
      <c r="J343" s="41"/>
      <c r="K343" s="15"/>
      <c r="L343" s="15"/>
      <c r="M343" s="15"/>
      <c r="N343" s="15"/>
      <c r="P343" s="15"/>
    </row>
    <row r="344" spans="1:16" ht="12.75">
      <c r="A344" s="49"/>
      <c r="B344" s="49"/>
      <c r="C344" s="49"/>
      <c r="D344" s="39"/>
      <c r="E344" s="40"/>
      <c r="H344" s="49"/>
      <c r="I344" s="49"/>
      <c r="J344" s="41"/>
      <c r="K344" s="15"/>
      <c r="L344" s="15"/>
      <c r="M344" s="15"/>
      <c r="N344" s="15"/>
      <c r="P344" s="15"/>
    </row>
    <row r="345" spans="1:16" ht="12.75">
      <c r="A345" s="49"/>
      <c r="B345" s="49"/>
      <c r="C345" s="49"/>
      <c r="D345" s="39"/>
      <c r="E345" s="40"/>
      <c r="H345" s="49"/>
      <c r="I345" s="49"/>
      <c r="J345" s="41"/>
      <c r="K345" s="15"/>
      <c r="L345" s="15"/>
      <c r="M345" s="15"/>
      <c r="N345" s="15"/>
      <c r="P345" s="15"/>
    </row>
    <row r="346" spans="1:16" ht="12.75">
      <c r="A346" s="49"/>
      <c r="B346" s="49"/>
      <c r="C346" s="49"/>
      <c r="D346" s="39"/>
      <c r="E346" s="40"/>
      <c r="H346" s="49"/>
      <c r="I346" s="49"/>
      <c r="J346" s="41"/>
      <c r="K346" s="15"/>
      <c r="L346" s="15"/>
      <c r="M346" s="15"/>
      <c r="N346" s="15"/>
      <c r="P346" s="15"/>
    </row>
    <row r="347" spans="1:16" ht="12.75">
      <c r="A347" s="49"/>
      <c r="B347" s="49"/>
      <c r="C347" s="49"/>
      <c r="D347" s="39"/>
      <c r="E347" s="40"/>
      <c r="H347" s="49"/>
      <c r="I347" s="49"/>
      <c r="J347" s="41"/>
      <c r="K347" s="15"/>
      <c r="L347" s="15"/>
      <c r="M347" s="15"/>
      <c r="N347" s="15"/>
      <c r="P347" s="15"/>
    </row>
    <row r="348" spans="1:16" ht="12.75">
      <c r="A348" s="49"/>
      <c r="B348" s="49"/>
      <c r="C348" s="49"/>
      <c r="D348" s="39"/>
      <c r="E348" s="40"/>
      <c r="H348" s="49"/>
      <c r="I348" s="49"/>
      <c r="J348" s="41"/>
      <c r="K348" s="15"/>
      <c r="L348" s="15"/>
      <c r="M348" s="15"/>
      <c r="N348" s="15"/>
      <c r="P348" s="15"/>
    </row>
    <row r="349" spans="1:16" ht="12.75">
      <c r="A349" s="49"/>
      <c r="B349" s="49"/>
      <c r="C349" s="49"/>
      <c r="D349" s="39"/>
      <c r="E349" s="40"/>
      <c r="H349" s="49"/>
      <c r="I349" s="49"/>
      <c r="J349" s="41"/>
      <c r="K349" s="15"/>
      <c r="L349" s="15"/>
      <c r="M349" s="15"/>
      <c r="N349" s="15"/>
      <c r="P349" s="15"/>
    </row>
    <row r="350" spans="1:16" ht="12.75">
      <c r="A350" s="49"/>
      <c r="B350" s="49"/>
      <c r="C350" s="49"/>
      <c r="D350" s="39"/>
      <c r="E350" s="40"/>
      <c r="H350" s="49"/>
      <c r="I350" s="49"/>
      <c r="J350" s="41"/>
      <c r="K350" s="15"/>
      <c r="L350" s="15"/>
      <c r="M350" s="15"/>
      <c r="N350" s="15"/>
      <c r="P350" s="15"/>
    </row>
    <row r="351" spans="1:16" ht="12.75">
      <c r="A351" s="49"/>
      <c r="B351" s="49"/>
      <c r="C351" s="49"/>
      <c r="D351" s="39"/>
      <c r="E351" s="40"/>
      <c r="H351" s="49"/>
      <c r="I351" s="49"/>
      <c r="J351" s="41"/>
      <c r="K351" s="15"/>
      <c r="L351" s="15"/>
      <c r="M351" s="15"/>
      <c r="N351" s="15"/>
      <c r="P351" s="15"/>
    </row>
    <row r="352" spans="1:16" ht="12.75">
      <c r="A352" s="49"/>
      <c r="B352" s="49"/>
      <c r="C352" s="49"/>
      <c r="D352" s="39"/>
      <c r="E352" s="40"/>
      <c r="H352" s="49"/>
      <c r="I352" s="49"/>
      <c r="J352" s="41"/>
      <c r="K352" s="15"/>
      <c r="L352" s="15"/>
      <c r="M352" s="15"/>
      <c r="N352" s="15"/>
      <c r="P352" s="15"/>
    </row>
    <row r="353" spans="1:16" ht="12.75">
      <c r="A353" s="49"/>
      <c r="B353" s="49"/>
      <c r="C353" s="49"/>
      <c r="D353" s="39"/>
      <c r="E353" s="40"/>
      <c r="H353" s="49"/>
      <c r="I353" s="49"/>
      <c r="J353" s="41"/>
      <c r="K353" s="15"/>
      <c r="L353" s="15"/>
      <c r="M353" s="15"/>
      <c r="N353" s="15"/>
      <c r="P353" s="15"/>
    </row>
    <row r="354" spans="1:16" ht="12.75">
      <c r="A354" s="49"/>
      <c r="B354" s="49"/>
      <c r="C354" s="49"/>
      <c r="D354" s="39"/>
      <c r="E354" s="40"/>
      <c r="H354" s="49"/>
      <c r="I354" s="49"/>
      <c r="J354" s="41"/>
      <c r="K354" s="15"/>
      <c r="L354" s="15"/>
      <c r="M354" s="15"/>
      <c r="N354" s="15"/>
      <c r="P354" s="15"/>
    </row>
    <row r="355" spans="1:16" ht="12.75">
      <c r="A355" s="49"/>
      <c r="B355" s="49"/>
      <c r="C355" s="49"/>
      <c r="D355" s="39"/>
      <c r="E355" s="40"/>
      <c r="H355" s="49"/>
      <c r="I355" s="49"/>
      <c r="J355" s="41"/>
      <c r="K355" s="15"/>
      <c r="L355" s="15"/>
      <c r="M355" s="15"/>
      <c r="N355" s="15"/>
      <c r="P355" s="15"/>
    </row>
    <row r="356" spans="1:16" ht="12.75">
      <c r="A356" s="49"/>
      <c r="B356" s="49"/>
      <c r="C356" s="49"/>
      <c r="D356" s="39"/>
      <c r="E356" s="40"/>
      <c r="H356" s="49"/>
      <c r="I356" s="49"/>
      <c r="J356" s="41"/>
      <c r="K356" s="15"/>
      <c r="L356" s="15"/>
      <c r="M356" s="15"/>
      <c r="N356" s="15"/>
      <c r="P356" s="15"/>
    </row>
    <row r="357" spans="1:16" ht="12.75">
      <c r="A357" s="49"/>
      <c r="B357" s="49"/>
      <c r="C357" s="49"/>
      <c r="D357" s="39"/>
      <c r="E357" s="40"/>
      <c r="H357" s="49"/>
      <c r="I357" s="49"/>
      <c r="J357" s="41"/>
      <c r="K357" s="15"/>
      <c r="L357" s="15"/>
      <c r="M357" s="15"/>
      <c r="N357" s="15"/>
      <c r="P357" s="15"/>
    </row>
    <row r="358" spans="1:16" ht="12.75">
      <c r="A358" s="49"/>
      <c r="B358" s="49"/>
      <c r="C358" s="49"/>
      <c r="D358" s="39"/>
      <c r="E358" s="40"/>
      <c r="H358" s="49"/>
      <c r="I358" s="49"/>
      <c r="J358" s="41"/>
      <c r="K358" s="15"/>
      <c r="L358" s="15"/>
      <c r="M358" s="15"/>
      <c r="N358" s="15"/>
      <c r="P358" s="15"/>
    </row>
    <row r="359" spans="1:16" ht="12.75">
      <c r="A359" s="49"/>
      <c r="B359" s="49"/>
      <c r="C359" s="49"/>
      <c r="D359" s="39"/>
      <c r="E359" s="40"/>
      <c r="H359" s="49"/>
      <c r="I359" s="49"/>
      <c r="J359" s="41"/>
      <c r="K359" s="15"/>
      <c r="L359" s="15"/>
      <c r="M359" s="15"/>
      <c r="N359" s="15"/>
      <c r="P359" s="15"/>
    </row>
    <row r="360" spans="1:16" ht="12.75">
      <c r="A360" s="49"/>
      <c r="B360" s="49"/>
      <c r="C360" s="49"/>
      <c r="D360" s="39"/>
      <c r="E360" s="40"/>
      <c r="H360" s="49"/>
      <c r="I360" s="49"/>
      <c r="J360" s="41"/>
      <c r="K360" s="15"/>
      <c r="L360" s="15"/>
      <c r="M360" s="15"/>
      <c r="N360" s="15"/>
      <c r="P360" s="15"/>
    </row>
    <row r="361" spans="1:16" ht="12.75">
      <c r="A361" s="49"/>
      <c r="B361" s="49"/>
      <c r="C361" s="49"/>
      <c r="D361" s="39"/>
      <c r="E361" s="40"/>
      <c r="H361" s="49"/>
      <c r="I361" s="49"/>
      <c r="J361" s="41"/>
      <c r="K361" s="15"/>
      <c r="L361" s="15"/>
      <c r="M361" s="15"/>
      <c r="N361" s="15"/>
      <c r="P361" s="15"/>
    </row>
    <row r="362" spans="1:16" ht="12.75">
      <c r="A362" s="49"/>
      <c r="B362" s="49"/>
      <c r="C362" s="49"/>
      <c r="D362" s="39"/>
      <c r="E362" s="40"/>
      <c r="H362" s="49"/>
      <c r="I362" s="49"/>
      <c r="J362" s="41"/>
      <c r="K362" s="15"/>
      <c r="L362" s="15"/>
      <c r="M362" s="15"/>
      <c r="N362" s="15"/>
      <c r="P362" s="15"/>
    </row>
    <row r="363" spans="1:16" ht="12.75">
      <c r="A363" s="49"/>
      <c r="B363" s="49"/>
      <c r="C363" s="49"/>
      <c r="D363" s="39"/>
      <c r="E363" s="40"/>
      <c r="H363" s="49"/>
      <c r="I363" s="49"/>
      <c r="J363" s="41"/>
      <c r="K363" s="15"/>
      <c r="L363" s="15"/>
      <c r="M363" s="15"/>
      <c r="N363" s="15"/>
      <c r="P363" s="15"/>
    </row>
    <row r="364" spans="1:16" ht="12.75">
      <c r="A364" s="49"/>
      <c r="B364" s="49"/>
      <c r="C364" s="49"/>
      <c r="D364" s="39"/>
      <c r="E364" s="40"/>
      <c r="H364" s="49"/>
      <c r="I364" s="49"/>
      <c r="J364" s="41"/>
      <c r="K364" s="15"/>
      <c r="L364" s="15"/>
      <c r="M364" s="15"/>
      <c r="N364" s="15"/>
      <c r="P364" s="15"/>
    </row>
    <row r="365" spans="1:16" ht="12.75">
      <c r="A365" s="49"/>
      <c r="B365" s="49"/>
      <c r="C365" s="49"/>
      <c r="D365" s="39"/>
      <c r="E365" s="40"/>
      <c r="H365" s="49"/>
      <c r="I365" s="49"/>
      <c r="J365" s="41"/>
      <c r="K365" s="15"/>
      <c r="L365" s="15"/>
      <c r="M365" s="15"/>
      <c r="N365" s="15"/>
      <c r="P365" s="15"/>
    </row>
    <row r="366" spans="1:16" ht="12.75">
      <c r="A366" s="49"/>
      <c r="B366" s="49"/>
      <c r="C366" s="49"/>
      <c r="D366" s="39"/>
      <c r="E366" s="40"/>
      <c r="H366" s="49"/>
      <c r="I366" s="49"/>
      <c r="J366" s="41"/>
      <c r="K366" s="15"/>
      <c r="L366" s="15"/>
      <c r="M366" s="15"/>
      <c r="N366" s="15"/>
      <c r="P366" s="15"/>
    </row>
    <row r="367" spans="1:16" ht="12.75">
      <c r="A367" s="49"/>
      <c r="B367" s="49"/>
      <c r="C367" s="49"/>
      <c r="D367" s="39"/>
      <c r="E367" s="40"/>
      <c r="H367" s="49"/>
      <c r="I367" s="49"/>
      <c r="J367" s="41"/>
      <c r="K367" s="15"/>
      <c r="L367" s="15"/>
      <c r="M367" s="15"/>
      <c r="N367" s="15"/>
      <c r="P367" s="15"/>
    </row>
    <row r="368" spans="1:16" ht="12.75">
      <c r="A368" s="49"/>
      <c r="B368" s="49"/>
      <c r="C368" s="49"/>
      <c r="D368" s="39"/>
      <c r="E368" s="40"/>
      <c r="H368" s="49"/>
      <c r="I368" s="49"/>
      <c r="J368" s="41"/>
      <c r="K368" s="15"/>
      <c r="L368" s="15"/>
      <c r="M368" s="15"/>
      <c r="N368" s="15"/>
      <c r="P368" s="15"/>
    </row>
    <row r="369" spans="1:16" ht="12.75">
      <c r="A369" s="49"/>
      <c r="B369" s="49"/>
      <c r="C369" s="49"/>
      <c r="D369" s="39"/>
      <c r="E369" s="40"/>
      <c r="H369" s="49"/>
      <c r="I369" s="49"/>
      <c r="J369" s="41"/>
      <c r="K369" s="15"/>
      <c r="L369" s="15"/>
      <c r="M369" s="15"/>
      <c r="N369" s="15"/>
      <c r="P369" s="15"/>
    </row>
    <row r="370" spans="1:16" ht="12.75">
      <c r="A370" s="49"/>
      <c r="B370" s="49"/>
      <c r="C370" s="49"/>
      <c r="D370" s="39"/>
      <c r="E370" s="40"/>
      <c r="H370" s="49"/>
      <c r="I370" s="49"/>
      <c r="J370" s="41"/>
      <c r="K370" s="15"/>
      <c r="L370" s="15"/>
      <c r="M370" s="15"/>
      <c r="N370" s="15"/>
      <c r="P370" s="15"/>
    </row>
    <row r="371" spans="1:16" ht="12.75">
      <c r="A371" s="49"/>
      <c r="B371" s="49"/>
      <c r="C371" s="49"/>
      <c r="D371" s="39"/>
      <c r="E371" s="40"/>
      <c r="H371" s="49"/>
      <c r="I371" s="49"/>
      <c r="J371" s="41"/>
      <c r="K371" s="15"/>
      <c r="L371" s="15"/>
      <c r="M371" s="15"/>
      <c r="N371" s="15"/>
      <c r="P371" s="15"/>
    </row>
    <row r="372" spans="1:16" ht="12.75">
      <c r="A372" s="49"/>
      <c r="B372" s="49"/>
      <c r="C372" s="49"/>
      <c r="D372" s="39"/>
      <c r="E372" s="40"/>
      <c r="H372" s="49"/>
      <c r="I372" s="49"/>
      <c r="J372" s="41"/>
      <c r="K372" s="15"/>
      <c r="L372" s="15"/>
      <c r="M372" s="15"/>
      <c r="N372" s="15"/>
      <c r="P372" s="15"/>
    </row>
    <row r="373" spans="1:16" ht="12.75">
      <c r="A373" s="49"/>
      <c r="B373" s="49"/>
      <c r="C373" s="49"/>
      <c r="D373" s="39"/>
      <c r="E373" s="40"/>
      <c r="H373" s="49"/>
      <c r="I373" s="49"/>
      <c r="J373" s="41"/>
      <c r="K373" s="15"/>
      <c r="L373" s="15"/>
      <c r="M373" s="15"/>
      <c r="N373" s="15"/>
      <c r="P373" s="15"/>
    </row>
    <row r="374" spans="1:16" ht="12.75">
      <c r="A374" s="49"/>
      <c r="B374" s="49"/>
      <c r="C374" s="49"/>
      <c r="D374" s="39"/>
      <c r="E374" s="40"/>
      <c r="H374" s="49"/>
      <c r="I374" s="49"/>
      <c r="J374" s="41"/>
      <c r="K374" s="15"/>
      <c r="L374" s="15"/>
      <c r="M374" s="15"/>
      <c r="N374" s="15"/>
      <c r="P374" s="15"/>
    </row>
    <row r="375" spans="1:16" ht="12.75">
      <c r="A375" s="49"/>
      <c r="B375" s="49"/>
      <c r="C375" s="49"/>
      <c r="D375" s="39"/>
      <c r="E375" s="40"/>
      <c r="H375" s="49"/>
      <c r="I375" s="49"/>
      <c r="J375" s="41"/>
      <c r="K375" s="15"/>
      <c r="L375" s="15"/>
      <c r="M375" s="15"/>
      <c r="N375" s="15"/>
      <c r="P375" s="15"/>
    </row>
    <row r="376" spans="1:16" ht="12.75">
      <c r="A376" s="49"/>
      <c r="B376" s="49"/>
      <c r="C376" s="49"/>
      <c r="D376" s="39"/>
      <c r="E376" s="40"/>
      <c r="H376" s="49"/>
      <c r="I376" s="49"/>
      <c r="J376" s="41"/>
      <c r="K376" s="15"/>
      <c r="L376" s="15"/>
      <c r="M376" s="15"/>
      <c r="N376" s="15"/>
      <c r="P376" s="15"/>
    </row>
    <row r="377" spans="1:16" ht="12.75">
      <c r="A377" s="49"/>
      <c r="B377" s="49"/>
      <c r="C377" s="49"/>
      <c r="D377" s="39"/>
      <c r="E377" s="40"/>
      <c r="H377" s="49"/>
      <c r="I377" s="49"/>
      <c r="J377" s="41"/>
      <c r="K377" s="15"/>
      <c r="L377" s="15"/>
      <c r="M377" s="15"/>
      <c r="N377" s="15"/>
      <c r="P377" s="15"/>
    </row>
    <row r="378" spans="1:16" ht="12.75">
      <c r="A378" s="49"/>
      <c r="B378" s="49"/>
      <c r="C378" s="49"/>
      <c r="D378" s="39"/>
      <c r="E378" s="40"/>
      <c r="H378" s="49"/>
      <c r="I378" s="49"/>
      <c r="J378" s="41"/>
      <c r="K378" s="15"/>
      <c r="L378" s="15"/>
      <c r="M378" s="15"/>
      <c r="N378" s="15"/>
      <c r="P378" s="15"/>
    </row>
    <row r="379" spans="1:16" ht="12.75">
      <c r="A379" s="49"/>
      <c r="B379" s="49"/>
      <c r="C379" s="49"/>
      <c r="D379" s="39"/>
      <c r="E379" s="40"/>
      <c r="H379" s="49"/>
      <c r="I379" s="49"/>
      <c r="J379" s="41"/>
      <c r="K379" s="15"/>
      <c r="L379" s="15"/>
      <c r="M379" s="15"/>
      <c r="N379" s="15"/>
      <c r="P379" s="15"/>
    </row>
    <row r="380" spans="1:16" ht="12.75">
      <c r="A380" s="49"/>
      <c r="B380" s="49"/>
      <c r="C380" s="49"/>
      <c r="D380" s="39"/>
      <c r="E380" s="40"/>
      <c r="H380" s="49"/>
      <c r="I380" s="49"/>
      <c r="J380" s="41"/>
      <c r="K380" s="15"/>
      <c r="L380" s="15"/>
      <c r="M380" s="15"/>
      <c r="N380" s="15"/>
      <c r="P380" s="15"/>
    </row>
    <row r="381" spans="1:16" ht="12.75">
      <c r="A381" s="49"/>
      <c r="B381" s="49"/>
      <c r="C381" s="49"/>
      <c r="D381" s="39"/>
      <c r="E381" s="40"/>
      <c r="H381" s="49"/>
      <c r="I381" s="49"/>
      <c r="J381" s="41"/>
      <c r="K381" s="15"/>
      <c r="L381" s="15"/>
      <c r="M381" s="15"/>
      <c r="N381" s="15"/>
      <c r="P381" s="15"/>
    </row>
    <row r="382" spans="1:16" ht="12.75">
      <c r="A382" s="49"/>
      <c r="B382" s="49"/>
      <c r="C382" s="49"/>
      <c r="D382" s="39"/>
      <c r="E382" s="40"/>
      <c r="H382" s="49"/>
      <c r="I382" s="49"/>
      <c r="J382" s="41"/>
      <c r="K382" s="15"/>
      <c r="L382" s="15"/>
      <c r="M382" s="15"/>
      <c r="N382" s="15"/>
      <c r="P382" s="15"/>
    </row>
    <row r="383" spans="1:16" ht="12.75">
      <c r="A383" s="49"/>
      <c r="B383" s="49"/>
      <c r="C383" s="49"/>
      <c r="D383" s="39"/>
      <c r="E383" s="40"/>
      <c r="H383" s="49"/>
      <c r="I383" s="49"/>
      <c r="J383" s="41"/>
      <c r="K383" s="15"/>
      <c r="L383" s="15"/>
      <c r="M383" s="15"/>
      <c r="N383" s="15"/>
      <c r="P383" s="15"/>
    </row>
    <row r="384" spans="1:16" ht="12.75">
      <c r="A384" s="49"/>
      <c r="B384" s="49"/>
      <c r="C384" s="49"/>
      <c r="D384" s="39"/>
      <c r="E384" s="40"/>
      <c r="H384" s="49"/>
      <c r="I384" s="49"/>
      <c r="J384" s="41"/>
      <c r="K384" s="15"/>
      <c r="L384" s="15"/>
      <c r="M384" s="15"/>
      <c r="N384" s="15"/>
      <c r="P384" s="15"/>
    </row>
    <row r="385" spans="1:16" ht="12.75">
      <c r="A385" s="49"/>
      <c r="B385" s="49"/>
      <c r="C385" s="49"/>
      <c r="D385" s="39"/>
      <c r="E385" s="40"/>
      <c r="H385" s="49"/>
      <c r="I385" s="49"/>
      <c r="J385" s="41"/>
      <c r="K385" s="15"/>
      <c r="L385" s="15"/>
      <c r="M385" s="15"/>
      <c r="N385" s="15"/>
      <c r="P385" s="15"/>
    </row>
    <row r="386" spans="1:16" ht="12.75">
      <c r="A386" s="49"/>
      <c r="B386" s="49"/>
      <c r="C386" s="49"/>
      <c r="D386" s="39"/>
      <c r="E386" s="40"/>
      <c r="H386" s="49"/>
      <c r="I386" s="49"/>
      <c r="J386" s="41"/>
      <c r="K386" s="15"/>
      <c r="L386" s="15"/>
      <c r="M386" s="15"/>
      <c r="N386" s="15"/>
      <c r="P386" s="15"/>
    </row>
    <row r="387" spans="1:16" ht="12.75">
      <c r="A387" s="49"/>
      <c r="B387" s="49"/>
      <c r="C387" s="49"/>
      <c r="D387" s="39"/>
      <c r="E387" s="40"/>
      <c r="H387" s="49"/>
      <c r="I387" s="49"/>
      <c r="J387" s="41"/>
      <c r="K387" s="15"/>
      <c r="L387" s="15"/>
      <c r="M387" s="15"/>
      <c r="N387" s="15"/>
      <c r="P387" s="15"/>
    </row>
    <row r="388" spans="1:16" ht="12.75">
      <c r="A388" s="49"/>
      <c r="B388" s="49"/>
      <c r="C388" s="49"/>
      <c r="D388" s="39"/>
      <c r="E388" s="40"/>
      <c r="H388" s="49"/>
      <c r="I388" s="49"/>
      <c r="J388" s="41"/>
      <c r="K388" s="15"/>
      <c r="L388" s="15"/>
      <c r="M388" s="15"/>
      <c r="N388" s="15"/>
      <c r="P388" s="15"/>
    </row>
    <row r="389" spans="1:16" ht="12.75">
      <c r="A389" s="49"/>
      <c r="B389" s="49"/>
      <c r="C389" s="49"/>
      <c r="D389" s="39"/>
      <c r="E389" s="40"/>
      <c r="H389" s="49"/>
      <c r="I389" s="49"/>
      <c r="J389" s="41"/>
      <c r="K389" s="15"/>
      <c r="L389" s="15"/>
      <c r="M389" s="15"/>
      <c r="N389" s="15"/>
      <c r="P389" s="15"/>
    </row>
    <row r="390" spans="1:16" ht="12.75">
      <c r="A390" s="49"/>
      <c r="B390" s="49"/>
      <c r="C390" s="49"/>
      <c r="D390" s="39"/>
      <c r="E390" s="40"/>
      <c r="H390" s="49"/>
      <c r="I390" s="49"/>
      <c r="J390" s="41"/>
      <c r="K390" s="15"/>
      <c r="L390" s="15"/>
      <c r="M390" s="15"/>
      <c r="N390" s="15"/>
      <c r="P390" s="15"/>
    </row>
    <row r="391" spans="1:16" ht="12.75">
      <c r="A391" s="49"/>
      <c r="B391" s="49"/>
      <c r="C391" s="49"/>
      <c r="D391" s="39"/>
      <c r="E391" s="40"/>
      <c r="H391" s="49"/>
      <c r="I391" s="49"/>
      <c r="J391" s="41"/>
      <c r="K391" s="15"/>
      <c r="L391" s="15"/>
      <c r="M391" s="15"/>
      <c r="N391" s="15"/>
      <c r="P391" s="15"/>
    </row>
    <row r="392" spans="1:16" ht="12.75">
      <c r="A392" s="49"/>
      <c r="B392" s="49"/>
      <c r="C392" s="49"/>
      <c r="D392" s="39"/>
      <c r="E392" s="40"/>
      <c r="H392" s="49"/>
      <c r="I392" s="49"/>
      <c r="J392" s="41"/>
      <c r="K392" s="15"/>
      <c r="L392" s="15"/>
      <c r="M392" s="15"/>
      <c r="N392" s="15"/>
      <c r="P392" s="15"/>
    </row>
    <row r="393" spans="1:16" ht="12.75">
      <c r="A393" s="49"/>
      <c r="B393" s="49"/>
      <c r="C393" s="49"/>
      <c r="D393" s="39"/>
      <c r="E393" s="40"/>
      <c r="H393" s="49"/>
      <c r="I393" s="49"/>
      <c r="J393" s="41"/>
      <c r="K393" s="15"/>
      <c r="L393" s="15"/>
      <c r="M393" s="15"/>
      <c r="N393" s="15"/>
      <c r="P393" s="15"/>
    </row>
    <row r="394" spans="1:16" ht="12.75">
      <c r="A394" s="49"/>
      <c r="B394" s="49"/>
      <c r="C394" s="49"/>
      <c r="D394" s="39"/>
      <c r="E394" s="40"/>
      <c r="H394" s="49"/>
      <c r="I394" s="49"/>
      <c r="J394" s="41"/>
      <c r="K394" s="15"/>
      <c r="L394" s="15"/>
      <c r="M394" s="15"/>
      <c r="N394" s="15"/>
      <c r="P394" s="15"/>
    </row>
    <row r="395" spans="1:16" ht="12.75">
      <c r="A395" s="49"/>
      <c r="B395" s="49"/>
      <c r="C395" s="49"/>
      <c r="D395" s="39"/>
      <c r="E395" s="40"/>
      <c r="H395" s="49"/>
      <c r="I395" s="49"/>
      <c r="J395" s="41"/>
      <c r="K395" s="15"/>
      <c r="L395" s="15"/>
      <c r="M395" s="15"/>
      <c r="N395" s="15"/>
      <c r="P395" s="15"/>
    </row>
    <row r="396" spans="1:16" ht="12.75">
      <c r="A396" s="49"/>
      <c r="B396" s="49"/>
      <c r="C396" s="49"/>
      <c r="D396" s="39"/>
      <c r="E396" s="40"/>
      <c r="H396" s="49"/>
      <c r="I396" s="49"/>
      <c r="J396" s="41"/>
      <c r="K396" s="15"/>
      <c r="L396" s="15"/>
      <c r="M396" s="15"/>
      <c r="N396" s="15"/>
      <c r="P396" s="15"/>
    </row>
    <row r="397" spans="1:16" ht="12.75">
      <c r="A397" s="49"/>
      <c r="B397" s="49"/>
      <c r="C397" s="49"/>
      <c r="D397" s="39"/>
      <c r="E397" s="40"/>
      <c r="H397" s="49"/>
      <c r="I397" s="49"/>
      <c r="J397" s="41"/>
      <c r="K397" s="15"/>
      <c r="L397" s="15"/>
      <c r="M397" s="15"/>
      <c r="N397" s="15"/>
      <c r="P397" s="15"/>
    </row>
    <row r="398" spans="1:16" ht="12.75">
      <c r="A398" s="49"/>
      <c r="B398" s="49"/>
      <c r="C398" s="49"/>
      <c r="D398" s="39"/>
      <c r="E398" s="40"/>
      <c r="H398" s="49"/>
      <c r="I398" s="49"/>
      <c r="J398" s="41"/>
      <c r="K398" s="15"/>
      <c r="L398" s="15"/>
      <c r="M398" s="15"/>
      <c r="N398" s="15"/>
      <c r="P398" s="15"/>
    </row>
    <row r="399" spans="1:16" ht="12.75">
      <c r="A399" s="49"/>
      <c r="B399" s="49"/>
      <c r="C399" s="49"/>
      <c r="D399" s="39"/>
      <c r="E399" s="40"/>
      <c r="H399" s="49"/>
      <c r="I399" s="49"/>
      <c r="J399" s="41"/>
      <c r="K399" s="15"/>
      <c r="L399" s="15"/>
      <c r="M399" s="15"/>
      <c r="N399" s="15"/>
      <c r="P399" s="15"/>
    </row>
    <row r="400" spans="1:16" ht="12.75">
      <c r="A400" s="49"/>
      <c r="B400" s="49"/>
      <c r="C400" s="49"/>
      <c r="D400" s="39"/>
      <c r="E400" s="40"/>
      <c r="H400" s="49"/>
      <c r="I400" s="49"/>
      <c r="J400" s="41"/>
      <c r="K400" s="15"/>
      <c r="L400" s="15"/>
      <c r="M400" s="15"/>
      <c r="N400" s="15"/>
      <c r="P400" s="15"/>
    </row>
    <row r="401" spans="1:16" ht="12.75">
      <c r="A401" s="49"/>
      <c r="B401" s="49"/>
      <c r="C401" s="49"/>
      <c r="D401" s="39"/>
      <c r="E401" s="40"/>
      <c r="H401" s="49"/>
      <c r="I401" s="49"/>
      <c r="J401" s="41"/>
      <c r="K401" s="15"/>
      <c r="L401" s="15"/>
      <c r="M401" s="15"/>
      <c r="N401" s="15"/>
      <c r="P401" s="15"/>
    </row>
    <row r="402" spans="1:16" ht="12.75">
      <c r="A402" s="49"/>
      <c r="B402" s="49"/>
      <c r="C402" s="49"/>
      <c r="D402" s="39"/>
      <c r="E402" s="40"/>
      <c r="H402" s="49"/>
      <c r="I402" s="49"/>
      <c r="J402" s="41"/>
      <c r="K402" s="15"/>
      <c r="L402" s="15"/>
      <c r="M402" s="15"/>
      <c r="N402" s="15"/>
      <c r="P402" s="15"/>
    </row>
    <row r="403" spans="1:16" ht="12.75">
      <c r="A403" s="49"/>
      <c r="B403" s="49"/>
      <c r="C403" s="49"/>
      <c r="D403" s="39"/>
      <c r="E403" s="40"/>
      <c r="H403" s="49"/>
      <c r="I403" s="49"/>
      <c r="J403" s="41"/>
      <c r="K403" s="15"/>
      <c r="L403" s="15"/>
      <c r="M403" s="15"/>
      <c r="N403" s="15"/>
      <c r="P403" s="15"/>
    </row>
    <row r="404" spans="1:16" ht="12.75">
      <c r="A404" s="49"/>
      <c r="B404" s="49"/>
      <c r="C404" s="49"/>
      <c r="D404" s="39"/>
      <c r="E404" s="40"/>
      <c r="H404" s="49"/>
      <c r="I404" s="49"/>
      <c r="J404" s="41"/>
      <c r="K404" s="15"/>
      <c r="L404" s="15"/>
      <c r="M404" s="15"/>
      <c r="N404" s="15"/>
      <c r="P404" s="15"/>
    </row>
    <row r="405" spans="1:16" ht="12.75">
      <c r="A405" s="49"/>
      <c r="B405" s="49"/>
      <c r="C405" s="49"/>
      <c r="D405" s="39"/>
      <c r="E405" s="40"/>
      <c r="H405" s="49"/>
      <c r="I405" s="49"/>
      <c r="J405" s="41"/>
      <c r="K405" s="15"/>
      <c r="L405" s="15"/>
      <c r="M405" s="15"/>
      <c r="N405" s="15"/>
      <c r="P405" s="15"/>
    </row>
    <row r="406" spans="1:16" ht="12.75">
      <c r="A406" s="49"/>
      <c r="B406" s="49"/>
      <c r="C406" s="49"/>
      <c r="D406" s="39"/>
      <c r="E406" s="40"/>
      <c r="H406" s="49"/>
      <c r="I406" s="49"/>
      <c r="J406" s="41"/>
      <c r="K406" s="15"/>
      <c r="L406" s="15"/>
      <c r="M406" s="15"/>
      <c r="N406" s="15"/>
      <c r="P406" s="15"/>
    </row>
    <row r="407" spans="1:16" ht="12.75">
      <c r="A407" s="49"/>
      <c r="B407" s="49"/>
      <c r="C407" s="49"/>
      <c r="D407" s="39"/>
      <c r="E407" s="40"/>
      <c r="H407" s="49"/>
      <c r="I407" s="49"/>
      <c r="J407" s="41"/>
      <c r="K407" s="15"/>
      <c r="L407" s="15"/>
      <c r="M407" s="15"/>
      <c r="N407" s="15"/>
      <c r="P407" s="15"/>
    </row>
    <row r="408" spans="1:16" ht="12.75">
      <c r="A408" s="49"/>
      <c r="B408" s="49"/>
      <c r="C408" s="49"/>
      <c r="D408" s="39"/>
      <c r="E408" s="40"/>
      <c r="H408" s="49"/>
      <c r="I408" s="49"/>
      <c r="J408" s="41"/>
      <c r="K408" s="15"/>
      <c r="L408" s="15"/>
      <c r="M408" s="15"/>
      <c r="N408" s="15"/>
      <c r="P408" s="15"/>
    </row>
    <row r="409" spans="1:16" ht="12.75">
      <c r="A409" s="49"/>
      <c r="B409" s="49"/>
      <c r="C409" s="49"/>
      <c r="D409" s="39"/>
      <c r="E409" s="40"/>
      <c r="H409" s="49"/>
      <c r="I409" s="49"/>
      <c r="J409" s="41"/>
      <c r="K409" s="15"/>
      <c r="L409" s="15"/>
      <c r="M409" s="15"/>
      <c r="N409" s="15"/>
      <c r="P409" s="15"/>
    </row>
    <row r="410" spans="1:16" ht="12.75">
      <c r="A410" s="49"/>
      <c r="B410" s="49"/>
      <c r="C410" s="49"/>
      <c r="D410" s="39"/>
      <c r="E410" s="40"/>
      <c r="H410" s="49"/>
      <c r="I410" s="49"/>
      <c r="J410" s="41"/>
      <c r="K410" s="15"/>
      <c r="L410" s="15"/>
      <c r="M410" s="15"/>
      <c r="N410" s="15"/>
      <c r="P410" s="15"/>
    </row>
    <row r="411" spans="1:16" ht="12.75">
      <c r="A411" s="49"/>
      <c r="B411" s="49"/>
      <c r="C411" s="49"/>
      <c r="D411" s="39"/>
      <c r="E411" s="40"/>
      <c r="H411" s="49"/>
      <c r="I411" s="49"/>
      <c r="J411" s="41"/>
      <c r="K411" s="15"/>
      <c r="L411" s="15"/>
      <c r="M411" s="15"/>
      <c r="N411" s="15"/>
      <c r="P411" s="15"/>
    </row>
    <row r="412" spans="1:16" ht="12.75">
      <c r="A412" s="49"/>
      <c r="B412" s="49"/>
      <c r="C412" s="49"/>
      <c r="D412" s="39"/>
      <c r="E412" s="40"/>
      <c r="H412" s="49"/>
      <c r="I412" s="49"/>
      <c r="J412" s="41"/>
      <c r="K412" s="15"/>
      <c r="L412" s="15"/>
      <c r="M412" s="15"/>
      <c r="N412" s="15"/>
      <c r="P412" s="15"/>
    </row>
    <row r="413" spans="1:16" ht="12.75">
      <c r="A413" s="49"/>
      <c r="B413" s="49"/>
      <c r="C413" s="49"/>
      <c r="D413" s="39"/>
      <c r="E413" s="40"/>
      <c r="H413" s="49"/>
      <c r="I413" s="49"/>
      <c r="J413" s="41"/>
      <c r="K413" s="15"/>
      <c r="L413" s="15"/>
      <c r="M413" s="15"/>
      <c r="N413" s="15"/>
      <c r="P413" s="15"/>
    </row>
    <row r="414" spans="1:16" ht="12.75">
      <c r="A414" s="49"/>
      <c r="B414" s="49"/>
      <c r="C414" s="49"/>
      <c r="D414" s="39"/>
      <c r="E414" s="40"/>
      <c r="H414" s="49"/>
      <c r="I414" s="49"/>
      <c r="J414" s="41"/>
      <c r="K414" s="15"/>
      <c r="L414" s="15"/>
      <c r="M414" s="15"/>
      <c r="N414" s="15"/>
      <c r="P414" s="15"/>
    </row>
    <row r="415" spans="1:16" ht="12.75">
      <c r="A415" s="49"/>
      <c r="B415" s="49"/>
      <c r="C415" s="49"/>
      <c r="D415" s="39"/>
      <c r="E415" s="40"/>
      <c r="H415" s="49"/>
      <c r="I415" s="49"/>
      <c r="J415" s="41"/>
      <c r="K415" s="15"/>
      <c r="L415" s="15"/>
      <c r="M415" s="15"/>
      <c r="N415" s="15"/>
      <c r="P415" s="15"/>
    </row>
    <row r="416" spans="1:16" ht="12.75">
      <c r="A416" s="49"/>
      <c r="B416" s="49"/>
      <c r="C416" s="49"/>
      <c r="D416" s="39"/>
      <c r="E416" s="40"/>
      <c r="H416" s="49"/>
      <c r="I416" s="49"/>
      <c r="J416" s="41"/>
      <c r="K416" s="15"/>
      <c r="L416" s="15"/>
      <c r="M416" s="15"/>
      <c r="N416" s="15"/>
      <c r="P416" s="15"/>
    </row>
    <row r="417" spans="1:16" ht="12.75">
      <c r="A417" s="49"/>
      <c r="B417" s="49"/>
      <c r="C417" s="49"/>
      <c r="D417" s="39"/>
      <c r="E417" s="40"/>
      <c r="H417" s="49"/>
      <c r="I417" s="49"/>
      <c r="J417" s="41"/>
      <c r="K417" s="15"/>
      <c r="L417" s="15"/>
      <c r="M417" s="15"/>
      <c r="N417" s="15"/>
      <c r="P417" s="15"/>
    </row>
    <row r="418" spans="1:16" ht="12.75">
      <c r="A418" s="49"/>
      <c r="B418" s="49"/>
      <c r="C418" s="49"/>
      <c r="D418" s="39"/>
      <c r="E418" s="40"/>
      <c r="H418" s="49"/>
      <c r="I418" s="49"/>
      <c r="J418" s="41"/>
      <c r="K418" s="15"/>
      <c r="L418" s="15"/>
      <c r="M418" s="15"/>
      <c r="N418" s="15"/>
      <c r="P418" s="15"/>
    </row>
    <row r="419" spans="1:16" ht="12.75">
      <c r="A419" s="49"/>
      <c r="B419" s="49"/>
      <c r="C419" s="49"/>
      <c r="D419" s="39"/>
      <c r="E419" s="40"/>
      <c r="H419" s="49"/>
      <c r="I419" s="49"/>
      <c r="J419" s="41"/>
      <c r="K419" s="15"/>
      <c r="L419" s="15"/>
      <c r="M419" s="15"/>
      <c r="N419" s="15"/>
      <c r="P419" s="15"/>
    </row>
    <row r="420" spans="1:16" ht="12.75">
      <c r="A420" s="49"/>
      <c r="B420" s="49"/>
      <c r="C420" s="49"/>
      <c r="D420" s="39"/>
      <c r="E420" s="40"/>
      <c r="H420" s="49"/>
      <c r="I420" s="49"/>
      <c r="J420" s="41"/>
      <c r="K420" s="15"/>
      <c r="L420" s="15"/>
      <c r="M420" s="15"/>
      <c r="N420" s="15"/>
      <c r="P420" s="15"/>
    </row>
    <row r="421" spans="1:16" ht="12.75">
      <c r="A421" s="49"/>
      <c r="B421" s="49"/>
      <c r="C421" s="49"/>
      <c r="D421" s="39"/>
      <c r="E421" s="40"/>
      <c r="H421" s="49"/>
      <c r="I421" s="49"/>
      <c r="J421" s="41"/>
      <c r="K421" s="15"/>
      <c r="L421" s="15"/>
      <c r="M421" s="15"/>
      <c r="N421" s="15"/>
      <c r="P421" s="15"/>
    </row>
    <row r="422" spans="1:16" ht="12.75">
      <c r="A422" s="49"/>
      <c r="B422" s="49"/>
      <c r="C422" s="49"/>
      <c r="D422" s="39"/>
      <c r="E422" s="40"/>
      <c r="H422" s="49"/>
      <c r="I422" s="49"/>
      <c r="J422" s="41"/>
      <c r="K422" s="15"/>
      <c r="L422" s="15"/>
      <c r="M422" s="15"/>
      <c r="N422" s="15"/>
      <c r="P422" s="15"/>
    </row>
    <row r="423" spans="1:16" ht="12.75">
      <c r="A423" s="49"/>
      <c r="B423" s="49"/>
      <c r="C423" s="49"/>
      <c r="D423" s="39"/>
      <c r="E423" s="40"/>
      <c r="H423" s="49"/>
      <c r="I423" s="49"/>
      <c r="J423" s="41"/>
      <c r="K423" s="15"/>
      <c r="L423" s="15"/>
      <c r="M423" s="15"/>
      <c r="N423" s="15"/>
      <c r="P423" s="15"/>
    </row>
    <row r="424" spans="1:16" ht="12.75">
      <c r="A424" s="49"/>
      <c r="B424" s="49"/>
      <c r="C424" s="49"/>
      <c r="D424" s="39"/>
      <c r="E424" s="40"/>
      <c r="H424" s="49"/>
      <c r="I424" s="49"/>
      <c r="J424" s="41"/>
      <c r="K424" s="15"/>
      <c r="L424" s="15"/>
      <c r="M424" s="15"/>
      <c r="N424" s="15"/>
      <c r="P424" s="15"/>
    </row>
    <row r="425" spans="1:16" ht="12.75">
      <c r="A425" s="49"/>
      <c r="B425" s="49"/>
      <c r="C425" s="49"/>
      <c r="D425" s="39"/>
      <c r="E425" s="40"/>
      <c r="H425" s="49"/>
      <c r="I425" s="49"/>
      <c r="J425" s="41"/>
      <c r="K425" s="15"/>
      <c r="L425" s="15"/>
      <c r="M425" s="15"/>
      <c r="N425" s="15"/>
      <c r="P425" s="15"/>
    </row>
    <row r="426" spans="1:16" ht="12.75">
      <c r="A426" s="49"/>
      <c r="B426" s="49"/>
      <c r="C426" s="49"/>
      <c r="D426" s="39"/>
      <c r="E426" s="40"/>
      <c r="H426" s="49"/>
      <c r="I426" s="49"/>
      <c r="J426" s="41"/>
      <c r="K426" s="15"/>
      <c r="L426" s="15"/>
      <c r="M426" s="15"/>
      <c r="N426" s="15"/>
      <c r="P426" s="15"/>
    </row>
    <row r="427" spans="1:16" ht="12.75">
      <c r="A427" s="49"/>
      <c r="B427" s="49"/>
      <c r="C427" s="49"/>
      <c r="D427" s="39"/>
      <c r="E427" s="40"/>
      <c r="H427" s="49"/>
      <c r="I427" s="49"/>
      <c r="J427" s="41"/>
      <c r="K427" s="15"/>
      <c r="L427" s="15"/>
      <c r="M427" s="15"/>
      <c r="N427" s="15"/>
      <c r="P427" s="15"/>
    </row>
    <row r="428" spans="1:16" ht="12.75">
      <c r="A428" s="49"/>
      <c r="B428" s="49"/>
      <c r="C428" s="49"/>
      <c r="D428" s="39"/>
      <c r="E428" s="40"/>
      <c r="H428" s="49"/>
      <c r="I428" s="49"/>
      <c r="J428" s="41"/>
      <c r="K428" s="15"/>
      <c r="L428" s="15"/>
      <c r="M428" s="15"/>
      <c r="N428" s="15"/>
      <c r="P428" s="15"/>
    </row>
    <row r="429" spans="1:16" ht="12.75">
      <c r="A429" s="49"/>
      <c r="B429" s="49"/>
      <c r="C429" s="49"/>
      <c r="D429" s="39"/>
      <c r="E429" s="40"/>
      <c r="H429" s="49"/>
      <c r="I429" s="49"/>
      <c r="J429" s="41"/>
      <c r="K429" s="15"/>
      <c r="L429" s="15"/>
      <c r="M429" s="15"/>
      <c r="N429" s="15"/>
      <c r="P429" s="15"/>
    </row>
    <row r="430" spans="1:16" ht="12.75">
      <c r="A430" s="49"/>
      <c r="B430" s="49"/>
      <c r="C430" s="49"/>
      <c r="D430" s="39"/>
      <c r="E430" s="40"/>
      <c r="H430" s="49"/>
      <c r="I430" s="49"/>
      <c r="J430" s="41"/>
      <c r="K430" s="15"/>
      <c r="L430" s="15"/>
      <c r="M430" s="15"/>
      <c r="N430" s="15"/>
      <c r="P430" s="15"/>
    </row>
    <row r="431" spans="1:16" ht="12.75">
      <c r="A431" s="49"/>
      <c r="B431" s="49"/>
      <c r="C431" s="49"/>
      <c r="D431" s="39"/>
      <c r="E431" s="40"/>
      <c r="H431" s="49"/>
      <c r="I431" s="49"/>
      <c r="J431" s="41"/>
      <c r="K431" s="15"/>
      <c r="L431" s="15"/>
      <c r="M431" s="15"/>
      <c r="N431" s="15"/>
      <c r="P431" s="15"/>
    </row>
    <row r="432" spans="1:16" ht="12.75">
      <c r="A432" s="49"/>
      <c r="B432" s="49"/>
      <c r="C432" s="49"/>
      <c r="D432" s="39"/>
      <c r="E432" s="40"/>
      <c r="H432" s="49"/>
      <c r="I432" s="49"/>
      <c r="J432" s="41"/>
      <c r="K432" s="15"/>
      <c r="L432" s="15"/>
      <c r="M432" s="15"/>
      <c r="N432" s="15"/>
      <c r="P432" s="15"/>
    </row>
    <row r="433" spans="1:16" ht="12.75">
      <c r="A433" s="49"/>
      <c r="B433" s="49"/>
      <c r="C433" s="49"/>
      <c r="D433" s="39"/>
      <c r="E433" s="40"/>
      <c r="H433" s="49"/>
      <c r="I433" s="49"/>
      <c r="J433" s="41"/>
      <c r="K433" s="15"/>
      <c r="L433" s="15"/>
      <c r="M433" s="15"/>
      <c r="N433" s="15"/>
      <c r="P433" s="15"/>
    </row>
    <row r="434" spans="1:16" ht="12.75">
      <c r="A434" s="49"/>
      <c r="B434" s="49"/>
      <c r="C434" s="49"/>
      <c r="D434" s="39"/>
      <c r="E434" s="40"/>
      <c r="H434" s="49"/>
      <c r="I434" s="49"/>
      <c r="J434" s="41"/>
      <c r="K434" s="15"/>
      <c r="L434" s="15"/>
      <c r="M434" s="15"/>
      <c r="N434" s="15"/>
      <c r="P434" s="15"/>
    </row>
    <row r="435" spans="1:16" ht="12.75">
      <c r="A435" s="49"/>
      <c r="B435" s="49"/>
      <c r="C435" s="49"/>
      <c r="D435" s="39"/>
      <c r="E435" s="40"/>
      <c r="H435" s="49"/>
      <c r="I435" s="49"/>
      <c r="J435" s="41"/>
      <c r="K435" s="15"/>
      <c r="L435" s="15"/>
      <c r="M435" s="15"/>
      <c r="N435" s="15"/>
      <c r="P435" s="15"/>
    </row>
    <row r="436" spans="1:16" ht="12.75">
      <c r="A436" s="49"/>
      <c r="B436" s="49"/>
      <c r="C436" s="49"/>
      <c r="D436" s="39"/>
      <c r="E436" s="40"/>
      <c r="H436" s="49"/>
      <c r="I436" s="49"/>
      <c r="J436" s="41"/>
      <c r="K436" s="15"/>
      <c r="L436" s="15"/>
      <c r="M436" s="15"/>
      <c r="N436" s="15"/>
      <c r="P436" s="15"/>
    </row>
    <row r="437" spans="1:16" ht="12.75">
      <c r="A437" s="49"/>
      <c r="B437" s="49"/>
      <c r="C437" s="49"/>
      <c r="D437" s="39"/>
      <c r="E437" s="40"/>
      <c r="H437" s="49"/>
      <c r="I437" s="49"/>
      <c r="J437" s="41"/>
      <c r="K437" s="15"/>
      <c r="L437" s="15"/>
      <c r="M437" s="15"/>
      <c r="N437" s="15"/>
      <c r="P437" s="15"/>
    </row>
    <row r="438" spans="1:16" ht="12.75">
      <c r="A438" s="49"/>
      <c r="B438" s="49"/>
      <c r="C438" s="49"/>
      <c r="D438" s="39"/>
      <c r="E438" s="40"/>
      <c r="H438" s="49"/>
      <c r="I438" s="49"/>
      <c r="J438" s="41"/>
      <c r="K438" s="15"/>
      <c r="L438" s="15"/>
      <c r="M438" s="15"/>
      <c r="N438" s="15"/>
      <c r="P438" s="15"/>
    </row>
    <row r="439" spans="1:16" ht="12.75">
      <c r="A439" s="49"/>
      <c r="B439" s="49"/>
      <c r="C439" s="49"/>
      <c r="D439" s="39"/>
      <c r="E439" s="40"/>
      <c r="H439" s="49"/>
      <c r="I439" s="49"/>
      <c r="J439" s="41"/>
      <c r="K439" s="15"/>
      <c r="L439" s="15"/>
      <c r="M439" s="15"/>
      <c r="N439" s="15"/>
      <c r="P439" s="15"/>
    </row>
    <row r="440" spans="1:16" ht="12.75">
      <c r="A440" s="49"/>
      <c r="B440" s="49"/>
      <c r="C440" s="49"/>
      <c r="D440" s="39"/>
      <c r="E440" s="40"/>
      <c r="H440" s="49"/>
      <c r="I440" s="49"/>
      <c r="J440" s="41"/>
      <c r="K440" s="15"/>
      <c r="L440" s="15"/>
      <c r="M440" s="15"/>
      <c r="N440" s="15"/>
      <c r="P440" s="15"/>
    </row>
    <row r="441" spans="1:16" ht="12.75">
      <c r="A441" s="49"/>
      <c r="B441" s="49"/>
      <c r="C441" s="49"/>
      <c r="D441" s="39"/>
      <c r="E441" s="40"/>
      <c r="H441" s="49"/>
      <c r="I441" s="49"/>
      <c r="J441" s="41"/>
      <c r="K441" s="15"/>
      <c r="L441" s="15"/>
      <c r="M441" s="15"/>
      <c r="N441" s="15"/>
      <c r="P441" s="15"/>
    </row>
    <row r="442" spans="1:16" ht="12.75">
      <c r="A442" s="49"/>
      <c r="B442" s="49"/>
      <c r="C442" s="49"/>
      <c r="D442" s="39"/>
      <c r="E442" s="40"/>
      <c r="H442" s="49"/>
      <c r="I442" s="49"/>
      <c r="J442" s="41"/>
      <c r="K442" s="15"/>
      <c r="L442" s="15"/>
      <c r="M442" s="15"/>
      <c r="N442" s="15"/>
      <c r="P442" s="15"/>
    </row>
    <row r="443" spans="1:16" ht="12.75">
      <c r="A443" s="49"/>
      <c r="B443" s="49"/>
      <c r="C443" s="49"/>
      <c r="D443" s="39"/>
      <c r="E443" s="40"/>
      <c r="H443" s="49"/>
      <c r="I443" s="49"/>
      <c r="J443" s="41"/>
      <c r="K443" s="15"/>
      <c r="L443" s="15"/>
      <c r="M443" s="15"/>
      <c r="N443" s="15"/>
      <c r="P443" s="15"/>
    </row>
    <row r="444" spans="1:16" ht="12.75">
      <c r="A444" s="49"/>
      <c r="B444" s="49"/>
      <c r="C444" s="49"/>
      <c r="D444" s="39"/>
      <c r="E444" s="40"/>
      <c r="H444" s="49"/>
      <c r="I444" s="49"/>
      <c r="J444" s="41"/>
      <c r="K444" s="15"/>
      <c r="L444" s="15"/>
      <c r="M444" s="15"/>
      <c r="N444" s="15"/>
      <c r="P444" s="15"/>
    </row>
    <row r="445" spans="1:16" ht="12.75">
      <c r="A445" s="49"/>
      <c r="B445" s="49"/>
      <c r="C445" s="49"/>
      <c r="D445" s="39"/>
      <c r="E445" s="40"/>
      <c r="H445" s="49"/>
      <c r="I445" s="49"/>
      <c r="J445" s="41"/>
      <c r="K445" s="15"/>
      <c r="L445" s="15"/>
      <c r="M445" s="15"/>
      <c r="N445" s="15"/>
      <c r="P445" s="15"/>
    </row>
    <row r="446" spans="1:16" ht="12.75">
      <c r="A446" s="49"/>
      <c r="B446" s="49"/>
      <c r="C446" s="49"/>
      <c r="D446" s="39"/>
      <c r="E446" s="40"/>
      <c r="H446" s="49"/>
      <c r="I446" s="49"/>
      <c r="J446" s="41"/>
      <c r="K446" s="15"/>
      <c r="L446" s="15"/>
      <c r="M446" s="15"/>
      <c r="N446" s="15"/>
      <c r="P446" s="15"/>
    </row>
    <row r="447" spans="1:16" ht="12.75">
      <c r="A447" s="49"/>
      <c r="B447" s="49"/>
      <c r="C447" s="49"/>
      <c r="D447" s="39"/>
      <c r="E447" s="40"/>
      <c r="H447" s="49"/>
      <c r="I447" s="49"/>
      <c r="J447" s="41"/>
      <c r="K447" s="15"/>
      <c r="L447" s="15"/>
      <c r="M447" s="15"/>
      <c r="N447" s="15"/>
      <c r="P447" s="15"/>
    </row>
    <row r="448" spans="1:16" ht="12.75">
      <c r="A448" s="49"/>
      <c r="B448" s="49"/>
      <c r="C448" s="49"/>
      <c r="D448" s="39"/>
      <c r="E448" s="40"/>
      <c r="H448" s="49"/>
      <c r="I448" s="49"/>
      <c r="J448" s="41"/>
      <c r="K448" s="15"/>
      <c r="L448" s="15"/>
      <c r="M448" s="15"/>
      <c r="N448" s="15"/>
      <c r="P448" s="15"/>
    </row>
    <row r="449" spans="1:16" ht="12.75">
      <c r="A449" s="49"/>
      <c r="B449" s="49"/>
      <c r="C449" s="49"/>
      <c r="D449" s="39"/>
      <c r="E449" s="40"/>
      <c r="H449" s="49"/>
      <c r="I449" s="49"/>
      <c r="J449" s="41"/>
      <c r="K449" s="15"/>
      <c r="L449" s="15"/>
      <c r="M449" s="15"/>
      <c r="N449" s="15"/>
      <c r="P449" s="15"/>
    </row>
    <row r="450" spans="1:16" ht="12.75">
      <c r="A450" s="49"/>
      <c r="B450" s="49"/>
      <c r="C450" s="49"/>
      <c r="D450" s="39"/>
      <c r="E450" s="40"/>
      <c r="H450" s="49"/>
      <c r="I450" s="49"/>
      <c r="J450" s="41"/>
      <c r="K450" s="15"/>
      <c r="L450" s="15"/>
      <c r="M450" s="15"/>
      <c r="N450" s="15"/>
      <c r="P450" s="15"/>
    </row>
    <row r="451" spans="1:16" ht="12.75">
      <c r="A451" s="49"/>
      <c r="B451" s="49"/>
      <c r="C451" s="49"/>
      <c r="D451" s="39"/>
      <c r="E451" s="40"/>
      <c r="H451" s="49"/>
      <c r="I451" s="49"/>
      <c r="J451" s="41"/>
      <c r="K451" s="15"/>
      <c r="L451" s="15"/>
      <c r="M451" s="15"/>
      <c r="N451" s="15"/>
      <c r="P451" s="15"/>
    </row>
    <row r="452" spans="1:16" ht="12.75">
      <c r="A452" s="49"/>
      <c r="B452" s="49"/>
      <c r="C452" s="49"/>
      <c r="D452" s="39"/>
      <c r="E452" s="40"/>
      <c r="H452" s="49"/>
      <c r="I452" s="49"/>
      <c r="J452" s="41"/>
      <c r="K452" s="15"/>
      <c r="L452" s="15"/>
      <c r="M452" s="15"/>
      <c r="N452" s="15"/>
      <c r="P452" s="15"/>
    </row>
    <row r="453" spans="1:16" ht="12.75">
      <c r="A453" s="49"/>
      <c r="B453" s="49"/>
      <c r="C453" s="49"/>
      <c r="D453" s="39"/>
      <c r="E453" s="40"/>
      <c r="H453" s="49"/>
      <c r="I453" s="49"/>
      <c r="J453" s="41"/>
      <c r="K453" s="15"/>
      <c r="L453" s="15"/>
      <c r="M453" s="15"/>
      <c r="N453" s="15"/>
      <c r="P453" s="15"/>
    </row>
    <row r="454" spans="1:16" ht="12.75">
      <c r="A454" s="49"/>
      <c r="B454" s="49"/>
      <c r="C454" s="49"/>
      <c r="D454" s="39"/>
      <c r="E454" s="40"/>
      <c r="H454" s="49"/>
      <c r="I454" s="49"/>
      <c r="J454" s="41"/>
      <c r="K454" s="15"/>
      <c r="L454" s="15"/>
      <c r="M454" s="15"/>
      <c r="N454" s="15"/>
      <c r="P454" s="15"/>
    </row>
    <row r="455" spans="1:16" ht="12.75">
      <c r="A455" s="49"/>
      <c r="B455" s="49"/>
      <c r="C455" s="49"/>
      <c r="D455" s="39"/>
      <c r="E455" s="40"/>
      <c r="H455" s="49"/>
      <c r="I455" s="49"/>
      <c r="J455" s="41"/>
      <c r="K455" s="15"/>
      <c r="L455" s="15"/>
      <c r="M455" s="15"/>
      <c r="N455" s="15"/>
      <c r="P455" s="15"/>
    </row>
    <row r="456" spans="1:16" ht="12.75">
      <c r="A456" s="49"/>
      <c r="B456" s="49"/>
      <c r="C456" s="49"/>
      <c r="D456" s="39"/>
      <c r="E456" s="40"/>
      <c r="H456" s="49"/>
      <c r="I456" s="49"/>
      <c r="J456" s="41"/>
      <c r="K456" s="15"/>
      <c r="L456" s="15"/>
      <c r="M456" s="15"/>
      <c r="N456" s="15"/>
      <c r="P456" s="15"/>
    </row>
    <row r="457" spans="1:16" ht="12.75">
      <c r="A457" s="49"/>
      <c r="B457" s="49"/>
      <c r="C457" s="49"/>
      <c r="D457" s="39"/>
      <c r="E457" s="40"/>
      <c r="H457" s="49"/>
      <c r="I457" s="49"/>
      <c r="J457" s="41"/>
      <c r="K457" s="15"/>
      <c r="L457" s="15"/>
      <c r="M457" s="15"/>
      <c r="N457" s="15"/>
      <c r="P457" s="15"/>
    </row>
    <row r="458" spans="1:16" ht="12.75">
      <c r="A458" s="49"/>
      <c r="B458" s="49"/>
      <c r="C458" s="49"/>
      <c r="D458" s="39"/>
      <c r="E458" s="40"/>
      <c r="H458" s="49"/>
      <c r="I458" s="49"/>
      <c r="J458" s="41"/>
      <c r="K458" s="15"/>
      <c r="L458" s="15"/>
      <c r="M458" s="15"/>
      <c r="N458" s="15"/>
      <c r="P458" s="15"/>
    </row>
    <row r="459" spans="1:16" ht="12.75">
      <c r="A459" s="49"/>
      <c r="B459" s="49"/>
      <c r="C459" s="49"/>
      <c r="D459" s="39"/>
      <c r="E459" s="40"/>
      <c r="H459" s="49"/>
      <c r="I459" s="49"/>
      <c r="J459" s="41"/>
      <c r="K459" s="15"/>
      <c r="L459" s="15"/>
      <c r="M459" s="15"/>
      <c r="N459" s="15"/>
      <c r="P459" s="15"/>
    </row>
    <row r="460" spans="1:16" ht="12.75">
      <c r="A460" s="49"/>
      <c r="B460" s="49"/>
      <c r="C460" s="49"/>
      <c r="D460" s="39"/>
      <c r="E460" s="40"/>
      <c r="H460" s="49"/>
      <c r="I460" s="49"/>
      <c r="J460" s="41"/>
      <c r="K460" s="15"/>
      <c r="L460" s="15"/>
      <c r="M460" s="15"/>
      <c r="N460" s="15"/>
      <c r="P460" s="15"/>
    </row>
    <row r="461" spans="1:16" ht="12.75">
      <c r="A461" s="49"/>
      <c r="B461" s="49"/>
      <c r="C461" s="49"/>
      <c r="D461" s="39"/>
      <c r="E461" s="40"/>
      <c r="H461" s="49"/>
      <c r="I461" s="49"/>
      <c r="J461" s="41"/>
      <c r="K461" s="15"/>
      <c r="L461" s="15"/>
      <c r="M461" s="15"/>
      <c r="N461" s="15"/>
      <c r="P461" s="15"/>
    </row>
    <row r="462" spans="1:16" ht="12.75">
      <c r="A462" s="49"/>
      <c r="B462" s="49"/>
      <c r="C462" s="49"/>
      <c r="D462" s="39"/>
      <c r="E462" s="40"/>
      <c r="H462" s="49"/>
      <c r="I462" s="49"/>
      <c r="J462" s="41"/>
      <c r="K462" s="15"/>
      <c r="L462" s="15"/>
      <c r="M462" s="15"/>
      <c r="N462" s="15"/>
      <c r="P462" s="15"/>
    </row>
    <row r="463" spans="1:16" ht="12.75">
      <c r="A463" s="49"/>
      <c r="B463" s="49"/>
      <c r="C463" s="49"/>
      <c r="D463" s="39"/>
      <c r="E463" s="40"/>
      <c r="H463" s="49"/>
      <c r="I463" s="49"/>
      <c r="J463" s="41"/>
      <c r="K463" s="15"/>
      <c r="L463" s="15"/>
      <c r="M463" s="15"/>
      <c r="N463" s="15"/>
      <c r="P463" s="15"/>
    </row>
    <row r="464" spans="1:16" ht="12.75">
      <c r="A464" s="49"/>
      <c r="B464" s="49"/>
      <c r="C464" s="49"/>
      <c r="D464" s="39"/>
      <c r="E464" s="40"/>
      <c r="H464" s="49"/>
      <c r="I464" s="49"/>
      <c r="J464" s="41"/>
      <c r="K464" s="15"/>
      <c r="L464" s="15"/>
      <c r="M464" s="15"/>
      <c r="N464" s="15"/>
      <c r="P464" s="15"/>
    </row>
    <row r="465" spans="1:16" ht="12.75">
      <c r="A465" s="49"/>
      <c r="B465" s="49"/>
      <c r="C465" s="49"/>
      <c r="D465" s="39"/>
      <c r="E465" s="40"/>
      <c r="H465" s="49"/>
      <c r="I465" s="49"/>
      <c r="J465" s="41"/>
      <c r="K465" s="15"/>
      <c r="L465" s="15"/>
      <c r="M465" s="15"/>
      <c r="N465" s="15"/>
      <c r="P465" s="15"/>
    </row>
    <row r="466" spans="1:16" ht="12.75">
      <c r="A466" s="49"/>
      <c r="B466" s="49"/>
      <c r="C466" s="49"/>
      <c r="D466" s="39"/>
      <c r="E466" s="40"/>
      <c r="H466" s="49"/>
      <c r="I466" s="49"/>
      <c r="J466" s="41"/>
      <c r="K466" s="15"/>
      <c r="L466" s="15"/>
      <c r="M466" s="15"/>
      <c r="N466" s="15"/>
      <c r="P466" s="15"/>
    </row>
    <row r="467" spans="1:16" ht="12.75">
      <c r="A467" s="49"/>
      <c r="B467" s="49"/>
      <c r="C467" s="49"/>
      <c r="D467" s="39"/>
      <c r="E467" s="40"/>
      <c r="H467" s="49"/>
      <c r="I467" s="49"/>
      <c r="J467" s="41"/>
      <c r="K467" s="15"/>
      <c r="L467" s="15"/>
      <c r="M467" s="15"/>
      <c r="N467" s="15"/>
      <c r="P467" s="15"/>
    </row>
    <row r="468" spans="1:16" ht="12.75">
      <c r="A468" s="49"/>
      <c r="B468" s="49"/>
      <c r="C468" s="49"/>
      <c r="D468" s="39"/>
      <c r="E468" s="40"/>
      <c r="H468" s="49"/>
      <c r="I468" s="49"/>
      <c r="J468" s="41"/>
      <c r="K468" s="15"/>
      <c r="L468" s="15"/>
      <c r="M468" s="15"/>
      <c r="N468" s="15"/>
      <c r="P468" s="15"/>
    </row>
    <row r="469" spans="1:16" ht="12.75">
      <c r="A469" s="49"/>
      <c r="B469" s="49"/>
      <c r="C469" s="49"/>
      <c r="D469" s="39"/>
      <c r="E469" s="40"/>
      <c r="H469" s="49"/>
      <c r="I469" s="49"/>
      <c r="J469" s="41"/>
      <c r="K469" s="15"/>
      <c r="L469" s="15"/>
      <c r="M469" s="15"/>
      <c r="N469" s="15"/>
      <c r="P469" s="15"/>
    </row>
    <row r="470" spans="1:16" ht="12.75">
      <c r="A470" s="49"/>
      <c r="B470" s="49"/>
      <c r="C470" s="49"/>
      <c r="D470" s="39"/>
      <c r="E470" s="40"/>
      <c r="H470" s="49"/>
      <c r="I470" s="49"/>
      <c r="J470" s="41"/>
      <c r="K470" s="15"/>
      <c r="L470" s="15"/>
      <c r="M470" s="15"/>
      <c r="N470" s="15"/>
      <c r="P470" s="15"/>
    </row>
    <row r="471" spans="1:16" ht="12.75">
      <c r="A471" s="49"/>
      <c r="B471" s="49"/>
      <c r="C471" s="49"/>
      <c r="D471" s="39"/>
      <c r="E471" s="40"/>
      <c r="H471" s="49"/>
      <c r="I471" s="49"/>
      <c r="J471" s="41"/>
      <c r="K471" s="15"/>
      <c r="L471" s="15"/>
      <c r="M471" s="15"/>
      <c r="N471" s="15"/>
      <c r="P471" s="15"/>
    </row>
    <row r="472" spans="1:16" ht="12.75">
      <c r="A472" s="49"/>
      <c r="B472" s="49"/>
      <c r="C472" s="49"/>
      <c r="D472" s="39"/>
      <c r="E472" s="40"/>
      <c r="H472" s="49"/>
      <c r="I472" s="49"/>
      <c r="J472" s="41"/>
      <c r="K472" s="15"/>
      <c r="L472" s="15"/>
      <c r="M472" s="15"/>
      <c r="N472" s="15"/>
      <c r="P472" s="15"/>
    </row>
    <row r="473" spans="1:16" ht="12.75">
      <c r="A473" s="49"/>
      <c r="B473" s="49"/>
      <c r="C473" s="49"/>
      <c r="D473" s="39"/>
      <c r="E473" s="40"/>
      <c r="H473" s="49"/>
      <c r="I473" s="49"/>
      <c r="J473" s="41"/>
      <c r="K473" s="15"/>
      <c r="L473" s="15"/>
      <c r="M473" s="15"/>
      <c r="N473" s="15"/>
      <c r="P473" s="15"/>
    </row>
    <row r="474" spans="1:16" ht="12.75">
      <c r="A474" s="49"/>
      <c r="B474" s="49"/>
      <c r="C474" s="49"/>
      <c r="D474" s="39"/>
      <c r="E474" s="40"/>
      <c r="H474" s="49"/>
      <c r="I474" s="49"/>
      <c r="J474" s="41"/>
      <c r="K474" s="15"/>
      <c r="L474" s="15"/>
      <c r="M474" s="15"/>
      <c r="N474" s="15"/>
      <c r="P474" s="15"/>
    </row>
    <row r="475" spans="1:16" ht="12.75">
      <c r="A475" s="49"/>
      <c r="B475" s="49"/>
      <c r="C475" s="49"/>
      <c r="D475" s="39"/>
      <c r="E475" s="40"/>
      <c r="H475" s="49"/>
      <c r="I475" s="49"/>
      <c r="J475" s="41"/>
      <c r="K475" s="15"/>
      <c r="L475" s="15"/>
      <c r="M475" s="15"/>
      <c r="N475" s="15"/>
      <c r="P475" s="15"/>
    </row>
    <row r="476" spans="1:16" ht="12.75">
      <c r="A476" s="49"/>
      <c r="B476" s="49"/>
      <c r="C476" s="49"/>
      <c r="D476" s="39"/>
      <c r="E476" s="40"/>
      <c r="H476" s="49"/>
      <c r="I476" s="49"/>
      <c r="J476" s="41"/>
      <c r="K476" s="15"/>
      <c r="L476" s="15"/>
      <c r="M476" s="15"/>
      <c r="N476" s="15"/>
      <c r="P476" s="15"/>
    </row>
    <row r="477" spans="1:16" ht="12.75">
      <c r="A477" s="49"/>
      <c r="B477" s="49"/>
      <c r="C477" s="49"/>
      <c r="D477" s="39"/>
      <c r="E477" s="40"/>
      <c r="H477" s="49"/>
      <c r="I477" s="49"/>
      <c r="J477" s="41"/>
      <c r="K477" s="15"/>
      <c r="L477" s="15"/>
      <c r="M477" s="15"/>
      <c r="N477" s="15"/>
      <c r="P477" s="15"/>
    </row>
    <row r="478" spans="1:16" ht="12.75">
      <c r="A478" s="49"/>
      <c r="B478" s="49"/>
      <c r="C478" s="49"/>
      <c r="D478" s="39"/>
      <c r="E478" s="40"/>
      <c r="H478" s="49"/>
      <c r="I478" s="49"/>
      <c r="J478" s="41"/>
      <c r="K478" s="15"/>
      <c r="L478" s="15"/>
      <c r="M478" s="15"/>
      <c r="N478" s="15"/>
      <c r="P478" s="15"/>
    </row>
    <row r="479" spans="1:16" ht="12.75">
      <c r="A479" s="49"/>
      <c r="B479" s="49"/>
      <c r="C479" s="49"/>
      <c r="D479" s="39"/>
      <c r="E479" s="40"/>
      <c r="H479" s="49"/>
      <c r="I479" s="49"/>
      <c r="J479" s="41"/>
      <c r="K479" s="15"/>
      <c r="L479" s="15"/>
      <c r="M479" s="15"/>
      <c r="N479" s="15"/>
      <c r="P479" s="15"/>
    </row>
    <row r="480" spans="1:16" ht="12.75">
      <c r="A480" s="49"/>
      <c r="B480" s="49"/>
      <c r="C480" s="49"/>
      <c r="D480" s="39"/>
      <c r="E480" s="40"/>
      <c r="H480" s="49"/>
      <c r="I480" s="49"/>
      <c r="J480" s="41"/>
      <c r="K480" s="15"/>
      <c r="L480" s="15"/>
      <c r="M480" s="15"/>
      <c r="N480" s="15"/>
      <c r="P480" s="15"/>
    </row>
    <row r="481" spans="1:16" ht="12.75">
      <c r="A481" s="49"/>
      <c r="B481" s="49"/>
      <c r="C481" s="49"/>
      <c r="D481" s="39"/>
      <c r="E481" s="40"/>
      <c r="H481" s="49"/>
      <c r="I481" s="49"/>
      <c r="J481" s="41"/>
      <c r="K481" s="15"/>
      <c r="L481" s="15"/>
      <c r="M481" s="15"/>
      <c r="N481" s="15"/>
      <c r="P481" s="15"/>
    </row>
    <row r="482" spans="1:16" ht="12.75">
      <c r="A482" s="49"/>
      <c r="B482" s="49"/>
      <c r="C482" s="49"/>
      <c r="D482" s="39"/>
      <c r="E482" s="40"/>
      <c r="H482" s="49"/>
      <c r="I482" s="49"/>
      <c r="J482" s="41"/>
      <c r="K482" s="15"/>
      <c r="L482" s="15"/>
      <c r="M482" s="15"/>
      <c r="N482" s="15"/>
      <c r="P482" s="15"/>
    </row>
    <row r="483" spans="1:16" ht="12.75">
      <c r="A483" s="49"/>
      <c r="B483" s="49"/>
      <c r="C483" s="49"/>
      <c r="D483" s="39"/>
      <c r="E483" s="40"/>
      <c r="H483" s="49"/>
      <c r="I483" s="49"/>
      <c r="J483" s="41"/>
      <c r="K483" s="15"/>
      <c r="L483" s="15"/>
      <c r="M483" s="15"/>
      <c r="N483" s="15"/>
      <c r="P483" s="15"/>
    </row>
    <row r="484" spans="1:16" ht="12.75">
      <c r="A484" s="49"/>
      <c r="B484" s="49"/>
      <c r="C484" s="49"/>
      <c r="D484" s="39"/>
      <c r="E484" s="40"/>
      <c r="H484" s="49"/>
      <c r="I484" s="49"/>
      <c r="J484" s="41"/>
      <c r="K484" s="15"/>
      <c r="L484" s="15"/>
      <c r="M484" s="15"/>
      <c r="N484" s="15"/>
      <c r="P484" s="15"/>
    </row>
    <row r="485" spans="1:16" ht="12.75">
      <c r="A485" s="49"/>
      <c r="B485" s="49"/>
      <c r="C485" s="49"/>
      <c r="D485" s="39"/>
      <c r="E485" s="40"/>
      <c r="H485" s="49"/>
      <c r="I485" s="49"/>
      <c r="J485" s="41"/>
      <c r="K485" s="15"/>
      <c r="L485" s="15"/>
      <c r="M485" s="15"/>
      <c r="N485" s="15"/>
      <c r="P485" s="15"/>
    </row>
    <row r="486" spans="1:16" ht="12.75">
      <c r="A486" s="49"/>
      <c r="B486" s="49"/>
      <c r="C486" s="49"/>
      <c r="D486" s="39"/>
      <c r="E486" s="40"/>
      <c r="H486" s="49"/>
      <c r="I486" s="49"/>
      <c r="J486" s="41"/>
      <c r="K486" s="15"/>
      <c r="L486" s="15"/>
      <c r="M486" s="15"/>
      <c r="N486" s="15"/>
      <c r="P486" s="15"/>
    </row>
    <row r="487" spans="1:16" ht="12.75">
      <c r="A487" s="49"/>
      <c r="B487" s="49"/>
      <c r="C487" s="49"/>
      <c r="D487" s="39"/>
      <c r="E487" s="40"/>
      <c r="H487" s="49"/>
      <c r="I487" s="49"/>
      <c r="J487" s="41"/>
      <c r="K487" s="15"/>
      <c r="L487" s="15"/>
      <c r="M487" s="15"/>
      <c r="N487" s="15"/>
      <c r="P487" s="15"/>
    </row>
    <row r="488" spans="1:16" ht="12.75">
      <c r="A488" s="49"/>
      <c r="B488" s="49"/>
      <c r="C488" s="49"/>
      <c r="D488" s="39"/>
      <c r="E488" s="40"/>
      <c r="H488" s="49"/>
      <c r="I488" s="49"/>
      <c r="J488" s="41"/>
      <c r="K488" s="15"/>
      <c r="L488" s="15"/>
      <c r="M488" s="15"/>
      <c r="N488" s="15"/>
      <c r="P488" s="15"/>
    </row>
    <row r="489" spans="1:16" ht="12.75">
      <c r="A489" s="49"/>
      <c r="B489" s="49"/>
      <c r="C489" s="49"/>
      <c r="D489" s="39"/>
      <c r="E489" s="40"/>
      <c r="H489" s="49"/>
      <c r="I489" s="49"/>
      <c r="J489" s="41"/>
      <c r="K489" s="15"/>
      <c r="L489" s="15"/>
      <c r="M489" s="15"/>
      <c r="N489" s="15"/>
      <c r="P489" s="15"/>
    </row>
    <row r="490" spans="1:16" ht="12.75">
      <c r="A490" s="49"/>
      <c r="B490" s="49"/>
      <c r="C490" s="49"/>
      <c r="D490" s="39"/>
      <c r="E490" s="40"/>
      <c r="H490" s="49"/>
      <c r="I490" s="49"/>
      <c r="J490" s="41"/>
      <c r="K490" s="15"/>
      <c r="L490" s="15"/>
      <c r="M490" s="15"/>
      <c r="N490" s="15"/>
      <c r="P490" s="15"/>
    </row>
    <row r="491" spans="1:16" ht="12.75">
      <c r="A491" s="49"/>
      <c r="B491" s="49"/>
      <c r="C491" s="49"/>
      <c r="D491" s="39"/>
      <c r="E491" s="40"/>
      <c r="H491" s="49"/>
      <c r="I491" s="49"/>
      <c r="J491" s="41"/>
      <c r="K491" s="15"/>
      <c r="L491" s="15"/>
      <c r="M491" s="15"/>
      <c r="N491" s="15"/>
      <c r="P491" s="15"/>
    </row>
    <row r="492" spans="1:16" ht="12.75">
      <c r="A492" s="49"/>
      <c r="B492" s="49"/>
      <c r="C492" s="49"/>
      <c r="D492" s="39"/>
      <c r="E492" s="40"/>
      <c r="H492" s="49"/>
      <c r="I492" s="49"/>
      <c r="J492" s="41"/>
      <c r="K492" s="15"/>
      <c r="L492" s="15"/>
      <c r="M492" s="15"/>
      <c r="N492" s="15"/>
      <c r="P492" s="15"/>
    </row>
    <row r="493" spans="1:16" ht="12.75">
      <c r="A493" s="49"/>
      <c r="B493" s="49"/>
      <c r="C493" s="49"/>
      <c r="D493" s="39"/>
      <c r="E493" s="40"/>
      <c r="H493" s="49"/>
      <c r="I493" s="49"/>
      <c r="J493" s="41"/>
      <c r="K493" s="15"/>
      <c r="L493" s="15"/>
      <c r="M493" s="15"/>
      <c r="N493" s="15"/>
      <c r="P493" s="15"/>
    </row>
    <row r="494" spans="1:16" ht="12.75">
      <c r="A494" s="49"/>
      <c r="B494" s="49"/>
      <c r="C494" s="49"/>
      <c r="D494" s="39"/>
      <c r="E494" s="40"/>
      <c r="H494" s="49"/>
      <c r="I494" s="49"/>
      <c r="J494" s="41"/>
      <c r="K494" s="15"/>
      <c r="L494" s="15"/>
      <c r="M494" s="15"/>
      <c r="N494" s="15"/>
      <c r="P494" s="15"/>
    </row>
    <row r="495" spans="1:16" ht="12.75">
      <c r="A495" s="49"/>
      <c r="B495" s="49"/>
      <c r="C495" s="49"/>
      <c r="D495" s="39"/>
      <c r="E495" s="40"/>
      <c r="H495" s="49"/>
      <c r="I495" s="49"/>
      <c r="J495" s="41"/>
      <c r="K495" s="15"/>
      <c r="L495" s="15"/>
      <c r="M495" s="15"/>
      <c r="N495" s="15"/>
      <c r="P495" s="15"/>
    </row>
    <row r="496" spans="1:16" ht="12.75">
      <c r="A496" s="49"/>
      <c r="B496" s="49"/>
      <c r="C496" s="49"/>
      <c r="D496" s="39"/>
      <c r="E496" s="40"/>
      <c r="H496" s="49"/>
      <c r="I496" s="49"/>
      <c r="J496" s="41"/>
      <c r="K496" s="15"/>
      <c r="L496" s="15"/>
      <c r="M496" s="15"/>
      <c r="N496" s="15"/>
      <c r="P496" s="15"/>
    </row>
    <row r="497" spans="1:16" ht="12.75">
      <c r="A497" s="49"/>
      <c r="B497" s="49"/>
      <c r="C497" s="49"/>
      <c r="D497" s="39"/>
      <c r="E497" s="40"/>
      <c r="H497" s="49"/>
      <c r="I497" s="49"/>
      <c r="J497" s="41"/>
      <c r="K497" s="15"/>
      <c r="L497" s="15"/>
      <c r="M497" s="15"/>
      <c r="N497" s="15"/>
      <c r="P497" s="15"/>
    </row>
    <row r="498" spans="1:16" ht="12.75">
      <c r="A498" s="49"/>
      <c r="B498" s="49"/>
      <c r="C498" s="49"/>
      <c r="D498" s="39"/>
      <c r="E498" s="40"/>
      <c r="H498" s="49"/>
      <c r="I498" s="49"/>
      <c r="J498" s="41"/>
      <c r="K498" s="15"/>
      <c r="L498" s="15"/>
      <c r="M498" s="15"/>
      <c r="N498" s="15"/>
      <c r="P498" s="15"/>
    </row>
    <row r="499" spans="1:16" ht="12.75">
      <c r="A499" s="49"/>
      <c r="B499" s="49"/>
      <c r="C499" s="49"/>
      <c r="D499" s="39"/>
      <c r="E499" s="40"/>
      <c r="H499" s="49"/>
      <c r="I499" s="49"/>
      <c r="J499" s="41"/>
      <c r="K499" s="15"/>
      <c r="L499" s="15"/>
      <c r="M499" s="15"/>
      <c r="N499" s="15"/>
      <c r="P499" s="15"/>
    </row>
    <row r="500" spans="1:16" ht="12.75">
      <c r="A500" s="49"/>
      <c r="B500" s="49"/>
      <c r="C500" s="49"/>
      <c r="D500" s="39"/>
      <c r="E500" s="40"/>
      <c r="H500" s="49"/>
      <c r="I500" s="49"/>
      <c r="J500" s="41"/>
      <c r="K500" s="15"/>
      <c r="L500" s="15"/>
      <c r="M500" s="15"/>
      <c r="N500" s="15"/>
      <c r="P500" s="15"/>
    </row>
    <row r="501" spans="1:16" ht="12.75">
      <c r="A501" s="49"/>
      <c r="B501" s="49"/>
      <c r="C501" s="49"/>
      <c r="D501" s="39"/>
      <c r="E501" s="40"/>
      <c r="H501" s="49"/>
      <c r="I501" s="49"/>
      <c r="J501" s="41"/>
      <c r="K501" s="15"/>
      <c r="L501" s="15"/>
      <c r="M501" s="15"/>
      <c r="N501" s="15"/>
      <c r="P501" s="15"/>
    </row>
    <row r="502" spans="1:16" ht="12.75">
      <c r="A502" s="49"/>
      <c r="B502" s="49"/>
      <c r="C502" s="49"/>
      <c r="D502" s="39"/>
      <c r="E502" s="40"/>
      <c r="H502" s="49"/>
      <c r="I502" s="49"/>
      <c r="J502" s="41"/>
      <c r="K502" s="15"/>
      <c r="L502" s="15"/>
      <c r="M502" s="15"/>
      <c r="N502" s="15"/>
      <c r="P502" s="15"/>
    </row>
    <row r="503" spans="1:16" ht="12.75">
      <c r="A503" s="49"/>
      <c r="B503" s="49"/>
      <c r="C503" s="49"/>
      <c r="D503" s="39"/>
      <c r="E503" s="40"/>
      <c r="H503" s="49"/>
      <c r="I503" s="49"/>
      <c r="J503" s="41"/>
      <c r="K503" s="15"/>
      <c r="L503" s="15"/>
      <c r="M503" s="15"/>
      <c r="N503" s="15"/>
      <c r="P503" s="15"/>
    </row>
    <row r="504" spans="1:16" ht="12.75">
      <c r="A504" s="49"/>
      <c r="B504" s="49"/>
      <c r="C504" s="49"/>
      <c r="D504" s="39"/>
      <c r="E504" s="40"/>
      <c r="H504" s="49"/>
      <c r="I504" s="49"/>
      <c r="J504" s="41"/>
      <c r="K504" s="15"/>
      <c r="L504" s="15"/>
      <c r="M504" s="15"/>
      <c r="N504" s="15"/>
      <c r="P504" s="15"/>
    </row>
    <row r="505" spans="1:16" ht="12.75">
      <c r="A505" s="49"/>
      <c r="B505" s="49"/>
      <c r="C505" s="49"/>
      <c r="D505" s="39"/>
      <c r="E505" s="40"/>
      <c r="H505" s="49"/>
      <c r="I505" s="49"/>
      <c r="J505" s="41"/>
      <c r="K505" s="15"/>
      <c r="L505" s="15"/>
      <c r="M505" s="15"/>
      <c r="N505" s="15"/>
      <c r="P505" s="15"/>
    </row>
    <row r="506" spans="1:16" ht="12.75">
      <c r="A506" s="49"/>
      <c r="B506" s="49"/>
      <c r="C506" s="49"/>
      <c r="D506" s="39"/>
      <c r="E506" s="40"/>
      <c r="H506" s="49"/>
      <c r="I506" s="49"/>
      <c r="J506" s="41"/>
      <c r="K506" s="15"/>
      <c r="L506" s="15"/>
      <c r="M506" s="15"/>
      <c r="N506" s="15"/>
      <c r="P506" s="15"/>
    </row>
    <row r="507" spans="1:16" ht="12.75">
      <c r="A507" s="49"/>
      <c r="B507" s="49"/>
      <c r="C507" s="49"/>
      <c r="D507" s="39"/>
      <c r="E507" s="40"/>
      <c r="H507" s="49"/>
      <c r="I507" s="49"/>
      <c r="J507" s="41"/>
      <c r="K507" s="15"/>
      <c r="L507" s="15"/>
      <c r="M507" s="15"/>
      <c r="N507" s="15"/>
      <c r="P507" s="15"/>
    </row>
    <row r="508" spans="1:16" ht="12.75">
      <c r="A508" s="49"/>
      <c r="B508" s="49"/>
      <c r="C508" s="49"/>
      <c r="D508" s="39"/>
      <c r="E508" s="40"/>
      <c r="H508" s="49"/>
      <c r="I508" s="49"/>
      <c r="J508" s="41"/>
      <c r="K508" s="15"/>
      <c r="L508" s="15"/>
      <c r="M508" s="15"/>
      <c r="N508" s="15"/>
      <c r="P508" s="15"/>
    </row>
    <row r="509" spans="1:16" ht="12.75">
      <c r="A509" s="49"/>
      <c r="B509" s="49"/>
      <c r="C509" s="49"/>
      <c r="D509" s="39"/>
      <c r="E509" s="40"/>
      <c r="H509" s="49"/>
      <c r="I509" s="49"/>
      <c r="J509" s="41"/>
      <c r="K509" s="15"/>
      <c r="L509" s="15"/>
      <c r="M509" s="15"/>
      <c r="N509" s="15"/>
      <c r="P509" s="15"/>
    </row>
    <row r="510" spans="1:16" ht="12.75">
      <c r="A510" s="49"/>
      <c r="B510" s="49"/>
      <c r="C510" s="49"/>
      <c r="D510" s="39"/>
      <c r="E510" s="40"/>
      <c r="H510" s="49"/>
      <c r="I510" s="49"/>
      <c r="J510" s="41"/>
      <c r="K510" s="15"/>
      <c r="L510" s="15"/>
      <c r="M510" s="15"/>
      <c r="N510" s="15"/>
      <c r="P510" s="15"/>
    </row>
    <row r="511" spans="1:16" ht="12.75">
      <c r="A511" s="49"/>
      <c r="B511" s="49"/>
      <c r="C511" s="49"/>
      <c r="D511" s="39"/>
      <c r="E511" s="40"/>
      <c r="H511" s="49"/>
      <c r="I511" s="49"/>
      <c r="J511" s="41"/>
      <c r="K511" s="15"/>
      <c r="L511" s="15"/>
      <c r="M511" s="15"/>
      <c r="N511" s="15"/>
      <c r="P511" s="15"/>
    </row>
    <row r="512" spans="1:16" ht="12.75">
      <c r="A512" s="49"/>
      <c r="B512" s="49"/>
      <c r="C512" s="49"/>
      <c r="D512" s="39"/>
      <c r="E512" s="40"/>
      <c r="H512" s="49"/>
      <c r="I512" s="49"/>
      <c r="J512" s="41"/>
      <c r="K512" s="15"/>
      <c r="L512" s="15"/>
      <c r="M512" s="15"/>
      <c r="N512" s="15"/>
      <c r="P512" s="15"/>
    </row>
    <row r="513" spans="1:16" ht="12.75">
      <c r="A513" s="49"/>
      <c r="B513" s="49"/>
      <c r="C513" s="49"/>
      <c r="D513" s="39"/>
      <c r="E513" s="40"/>
      <c r="H513" s="49"/>
      <c r="I513" s="49"/>
      <c r="J513" s="41"/>
      <c r="K513" s="15"/>
      <c r="L513" s="15"/>
      <c r="M513" s="15"/>
      <c r="N513" s="15"/>
      <c r="P513" s="15"/>
    </row>
    <row r="514" spans="1:16" ht="12.75">
      <c r="A514" s="49"/>
      <c r="B514" s="49"/>
      <c r="C514" s="49"/>
      <c r="D514" s="39"/>
      <c r="E514" s="40"/>
      <c r="H514" s="49"/>
      <c r="I514" s="49"/>
      <c r="J514" s="41"/>
      <c r="K514" s="15"/>
      <c r="L514" s="15"/>
      <c r="M514" s="15"/>
      <c r="N514" s="15"/>
      <c r="P514" s="15"/>
    </row>
    <row r="515" spans="1:16" ht="12.75">
      <c r="A515" s="49"/>
      <c r="B515" s="49"/>
      <c r="C515" s="49"/>
      <c r="D515" s="39"/>
      <c r="E515" s="40"/>
      <c r="H515" s="49"/>
      <c r="I515" s="49"/>
      <c r="J515" s="41"/>
      <c r="K515" s="15"/>
      <c r="L515" s="15"/>
      <c r="M515" s="15"/>
      <c r="N515" s="15"/>
      <c r="P515" s="15"/>
    </row>
    <row r="516" spans="1:16" ht="12.75">
      <c r="A516" s="49"/>
      <c r="B516" s="49"/>
      <c r="C516" s="49"/>
      <c r="D516" s="39"/>
      <c r="E516" s="40"/>
      <c r="H516" s="49"/>
      <c r="I516" s="49"/>
      <c r="J516" s="41"/>
      <c r="K516" s="15"/>
      <c r="L516" s="15"/>
      <c r="M516" s="15"/>
      <c r="N516" s="15"/>
      <c r="P516" s="15"/>
    </row>
    <row r="517" spans="1:16" ht="12.75">
      <c r="A517" s="49"/>
      <c r="B517" s="49"/>
      <c r="C517" s="49"/>
      <c r="D517" s="39"/>
      <c r="E517" s="40"/>
      <c r="H517" s="49"/>
      <c r="I517" s="49"/>
      <c r="J517" s="41"/>
      <c r="K517" s="15"/>
      <c r="L517" s="15"/>
      <c r="M517" s="15"/>
      <c r="N517" s="15"/>
      <c r="P517" s="15"/>
    </row>
    <row r="518" spans="1:16" ht="12.75">
      <c r="A518" s="49"/>
      <c r="B518" s="49"/>
      <c r="C518" s="49"/>
      <c r="D518" s="39"/>
      <c r="E518" s="40"/>
      <c r="H518" s="49"/>
      <c r="I518" s="49"/>
      <c r="J518" s="41"/>
      <c r="K518" s="15"/>
      <c r="L518" s="15"/>
      <c r="M518" s="15"/>
      <c r="N518" s="15"/>
      <c r="P518" s="15"/>
    </row>
    <row r="519" spans="1:16" ht="12.75">
      <c r="A519" s="49"/>
      <c r="B519" s="49"/>
      <c r="C519" s="49"/>
      <c r="D519" s="39"/>
      <c r="E519" s="40"/>
      <c r="H519" s="49"/>
      <c r="I519" s="49"/>
      <c r="J519" s="41"/>
      <c r="K519" s="15"/>
      <c r="L519" s="15"/>
      <c r="M519" s="15"/>
      <c r="N519" s="15"/>
      <c r="P519" s="15"/>
    </row>
    <row r="520" spans="1:16" ht="12.75">
      <c r="A520" s="49"/>
      <c r="B520" s="49"/>
      <c r="C520" s="49"/>
      <c r="D520" s="39"/>
      <c r="E520" s="40"/>
      <c r="H520" s="49"/>
      <c r="I520" s="49"/>
      <c r="J520" s="41"/>
      <c r="K520" s="15"/>
      <c r="L520" s="15"/>
      <c r="M520" s="15"/>
      <c r="N520" s="15"/>
      <c r="P520" s="15"/>
    </row>
    <row r="521" spans="1:16" ht="12.75">
      <c r="A521" s="49"/>
      <c r="B521" s="49"/>
      <c r="C521" s="49"/>
      <c r="D521" s="39"/>
      <c r="E521" s="40"/>
      <c r="H521" s="49"/>
      <c r="I521" s="49"/>
      <c r="J521" s="41"/>
      <c r="K521" s="15"/>
      <c r="L521" s="15"/>
      <c r="M521" s="15"/>
      <c r="N521" s="15"/>
      <c r="P521" s="15"/>
    </row>
    <row r="522" spans="1:16" ht="12.75">
      <c r="A522" s="49"/>
      <c r="B522" s="49"/>
      <c r="C522" s="49"/>
      <c r="D522" s="39"/>
      <c r="E522" s="40"/>
      <c r="H522" s="49"/>
      <c r="I522" s="49"/>
      <c r="J522" s="41"/>
      <c r="K522" s="15"/>
      <c r="L522" s="15"/>
      <c r="M522" s="15"/>
      <c r="N522" s="15"/>
      <c r="P522" s="15"/>
    </row>
    <row r="523" spans="1:16" ht="12.75">
      <c r="A523" s="49"/>
      <c r="B523" s="49"/>
      <c r="C523" s="49"/>
      <c r="D523" s="39"/>
      <c r="E523" s="40"/>
      <c r="H523" s="49"/>
      <c r="I523" s="49"/>
      <c r="J523" s="41"/>
      <c r="K523" s="15"/>
      <c r="L523" s="15"/>
      <c r="M523" s="15"/>
      <c r="N523" s="15"/>
      <c r="P523" s="15"/>
    </row>
    <row r="524" spans="1:16" ht="12.75">
      <c r="A524" s="49"/>
      <c r="B524" s="49"/>
      <c r="C524" s="49"/>
      <c r="D524" s="39"/>
      <c r="E524" s="40"/>
      <c r="H524" s="49"/>
      <c r="I524" s="49"/>
      <c r="J524" s="41"/>
      <c r="K524" s="15"/>
      <c r="L524" s="15"/>
      <c r="M524" s="15"/>
      <c r="N524" s="15"/>
      <c r="P524" s="15"/>
    </row>
    <row r="525" spans="1:16" ht="12.75">
      <c r="A525" s="49"/>
      <c r="B525" s="49"/>
      <c r="C525" s="49"/>
      <c r="D525" s="39"/>
      <c r="E525" s="40"/>
      <c r="H525" s="49"/>
      <c r="I525" s="49"/>
      <c r="J525" s="41"/>
      <c r="K525" s="15"/>
      <c r="L525" s="15"/>
      <c r="M525" s="15"/>
      <c r="N525" s="15"/>
      <c r="P525" s="15"/>
    </row>
    <row r="526" spans="1:16" ht="12.75">
      <c r="A526" s="49"/>
      <c r="B526" s="49"/>
      <c r="C526" s="49"/>
      <c r="D526" s="39"/>
      <c r="E526" s="40"/>
      <c r="H526" s="49"/>
      <c r="I526" s="49"/>
      <c r="J526" s="41"/>
      <c r="K526" s="15"/>
      <c r="L526" s="15"/>
      <c r="M526" s="15"/>
      <c r="N526" s="15"/>
      <c r="P526" s="15"/>
    </row>
    <row r="527" spans="1:16" ht="12.75">
      <c r="A527" s="49"/>
      <c r="B527" s="49"/>
      <c r="C527" s="49"/>
      <c r="D527" s="39"/>
      <c r="E527" s="40"/>
      <c r="H527" s="49"/>
      <c r="I527" s="49"/>
      <c r="J527" s="41"/>
      <c r="K527" s="15"/>
      <c r="L527" s="15"/>
      <c r="M527" s="15"/>
      <c r="N527" s="15"/>
      <c r="P527" s="15"/>
    </row>
    <row r="528" spans="1:16" ht="12.75">
      <c r="A528" s="49"/>
      <c r="B528" s="49"/>
      <c r="C528" s="49"/>
      <c r="D528" s="39"/>
      <c r="E528" s="40"/>
      <c r="H528" s="49"/>
      <c r="I528" s="49"/>
      <c r="J528" s="41"/>
      <c r="K528" s="15"/>
      <c r="L528" s="15"/>
      <c r="M528" s="15"/>
      <c r="N528" s="15"/>
      <c r="P528" s="15"/>
    </row>
    <row r="529" spans="1:16" ht="12.75">
      <c r="A529" s="49"/>
      <c r="B529" s="49"/>
      <c r="C529" s="49"/>
      <c r="D529" s="39"/>
      <c r="E529" s="40"/>
      <c r="H529" s="49"/>
      <c r="I529" s="49"/>
      <c r="J529" s="41"/>
      <c r="K529" s="15"/>
      <c r="L529" s="15"/>
      <c r="M529" s="15"/>
      <c r="N529" s="15"/>
      <c r="P529" s="15"/>
    </row>
    <row r="530" spans="1:16" ht="12.75">
      <c r="A530" s="49"/>
      <c r="B530" s="49"/>
      <c r="C530" s="49"/>
      <c r="D530" s="39"/>
      <c r="E530" s="40"/>
      <c r="H530" s="49"/>
      <c r="I530" s="49"/>
      <c r="J530" s="41"/>
      <c r="K530" s="15"/>
      <c r="L530" s="15"/>
      <c r="M530" s="15"/>
      <c r="N530" s="15"/>
      <c r="P530" s="15"/>
    </row>
    <row r="531" spans="1:16" ht="12.75">
      <c r="A531" s="49"/>
      <c r="B531" s="49"/>
      <c r="C531" s="49"/>
      <c r="D531" s="39"/>
      <c r="E531" s="40"/>
      <c r="H531" s="49"/>
      <c r="I531" s="49"/>
      <c r="J531" s="41"/>
      <c r="K531" s="15"/>
      <c r="L531" s="15"/>
      <c r="M531" s="15"/>
      <c r="N531" s="15"/>
      <c r="P531" s="15"/>
    </row>
    <row r="532" spans="1:16" ht="12.75">
      <c r="A532" s="49"/>
      <c r="B532" s="49"/>
      <c r="C532" s="49"/>
      <c r="D532" s="39"/>
      <c r="E532" s="40"/>
      <c r="H532" s="49"/>
      <c r="I532" s="49"/>
      <c r="J532" s="41"/>
      <c r="K532" s="15"/>
      <c r="L532" s="15"/>
      <c r="M532" s="15"/>
      <c r="N532" s="15"/>
      <c r="P532" s="15"/>
    </row>
    <row r="533" spans="1:16" ht="12.75">
      <c r="A533" s="49"/>
      <c r="B533" s="49"/>
      <c r="C533" s="49"/>
      <c r="D533" s="39"/>
      <c r="E533" s="40"/>
      <c r="H533" s="49"/>
      <c r="I533" s="49"/>
      <c r="J533" s="41"/>
      <c r="K533" s="15"/>
      <c r="L533" s="15"/>
      <c r="M533" s="15"/>
      <c r="N533" s="15"/>
      <c r="P533" s="15"/>
    </row>
    <row r="534" spans="1:16" ht="12.75">
      <c r="A534" s="49"/>
      <c r="B534" s="49"/>
      <c r="C534" s="49"/>
      <c r="D534" s="39"/>
      <c r="E534" s="40"/>
      <c r="H534" s="49"/>
      <c r="I534" s="49"/>
      <c r="J534" s="41"/>
      <c r="K534" s="15"/>
      <c r="L534" s="15"/>
      <c r="M534" s="15"/>
      <c r="N534" s="15"/>
      <c r="P534" s="15"/>
    </row>
    <row r="535" spans="1:16" ht="12.75">
      <c r="A535" s="49"/>
      <c r="B535" s="49"/>
      <c r="C535" s="49"/>
      <c r="D535" s="39"/>
      <c r="E535" s="40"/>
      <c r="H535" s="49"/>
      <c r="I535" s="49"/>
      <c r="J535" s="41"/>
      <c r="K535" s="15"/>
      <c r="L535" s="15"/>
      <c r="M535" s="15"/>
      <c r="N535" s="15"/>
      <c r="P535" s="15"/>
    </row>
    <row r="536" spans="1:16" ht="12.75">
      <c r="A536" s="49"/>
      <c r="B536" s="49"/>
      <c r="C536" s="49"/>
      <c r="D536" s="39"/>
      <c r="E536" s="40"/>
      <c r="H536" s="49"/>
      <c r="I536" s="49"/>
      <c r="J536" s="41"/>
      <c r="K536" s="15"/>
      <c r="L536" s="15"/>
      <c r="M536" s="15"/>
      <c r="N536" s="15"/>
      <c r="P536" s="15"/>
    </row>
    <row r="537" spans="1:16" ht="12.75">
      <c r="A537" s="49"/>
      <c r="B537" s="49"/>
      <c r="C537" s="49"/>
      <c r="D537" s="39"/>
      <c r="E537" s="40"/>
      <c r="H537" s="49"/>
      <c r="I537" s="49"/>
      <c r="J537" s="41"/>
      <c r="K537" s="15"/>
      <c r="L537" s="15"/>
      <c r="M537" s="15"/>
      <c r="N537" s="15"/>
      <c r="P537" s="15"/>
    </row>
    <row r="538" spans="1:16" ht="12.75">
      <c r="A538" s="49"/>
      <c r="B538" s="49"/>
      <c r="C538" s="49"/>
      <c r="D538" s="39"/>
      <c r="E538" s="40"/>
      <c r="H538" s="49"/>
      <c r="I538" s="49"/>
      <c r="J538" s="41"/>
      <c r="K538" s="15"/>
      <c r="L538" s="15"/>
      <c r="M538" s="15"/>
      <c r="N538" s="15"/>
      <c r="P538" s="15"/>
    </row>
    <row r="539" spans="1:16" ht="12.75">
      <c r="A539" s="49"/>
      <c r="B539" s="49"/>
      <c r="C539" s="49"/>
      <c r="D539" s="39"/>
      <c r="E539" s="40"/>
      <c r="H539" s="49"/>
      <c r="I539" s="49"/>
      <c r="J539" s="41"/>
      <c r="K539" s="15"/>
      <c r="L539" s="15"/>
      <c r="M539" s="15"/>
      <c r="N539" s="15"/>
      <c r="P539" s="15"/>
    </row>
    <row r="540" spans="1:16" ht="12.75">
      <c r="A540" s="49"/>
      <c r="B540" s="49"/>
      <c r="C540" s="49"/>
      <c r="D540" s="39"/>
      <c r="E540" s="40"/>
      <c r="H540" s="49"/>
      <c r="I540" s="49"/>
      <c r="J540" s="41"/>
      <c r="K540" s="15"/>
      <c r="L540" s="15"/>
      <c r="M540" s="15"/>
      <c r="N540" s="15"/>
      <c r="P540" s="15"/>
    </row>
    <row r="541" spans="1:16" ht="12.75">
      <c r="A541" s="49"/>
      <c r="B541" s="49"/>
      <c r="C541" s="49"/>
      <c r="D541" s="39"/>
      <c r="E541" s="40"/>
      <c r="H541" s="49"/>
      <c r="I541" s="49"/>
      <c r="J541" s="41"/>
      <c r="K541" s="15"/>
      <c r="L541" s="15"/>
      <c r="M541" s="15"/>
      <c r="N541" s="15"/>
      <c r="P541" s="15"/>
    </row>
    <row r="542" spans="1:16" ht="12.75">
      <c r="A542" s="49"/>
      <c r="B542" s="49"/>
      <c r="C542" s="49"/>
      <c r="D542" s="39"/>
      <c r="E542" s="40"/>
      <c r="H542" s="49"/>
      <c r="I542" s="49"/>
      <c r="J542" s="41"/>
      <c r="K542" s="15"/>
      <c r="L542" s="15"/>
      <c r="M542" s="15"/>
      <c r="N542" s="15"/>
      <c r="P542" s="15"/>
    </row>
    <row r="543" spans="1:16" ht="12.75">
      <c r="A543" s="49"/>
      <c r="B543" s="49"/>
      <c r="C543" s="49"/>
      <c r="D543" s="39"/>
      <c r="E543" s="40"/>
      <c r="H543" s="49"/>
      <c r="I543" s="49"/>
      <c r="J543" s="41"/>
      <c r="K543" s="15"/>
      <c r="L543" s="15"/>
      <c r="M543" s="15"/>
      <c r="N543" s="15"/>
      <c r="P543" s="15"/>
    </row>
    <row r="544" spans="1:16" ht="12.75">
      <c r="A544" s="49"/>
      <c r="B544" s="49"/>
      <c r="C544" s="49"/>
      <c r="D544" s="39"/>
      <c r="E544" s="40"/>
      <c r="H544" s="49"/>
      <c r="I544" s="49"/>
      <c r="J544" s="41"/>
      <c r="K544" s="15"/>
      <c r="L544" s="15"/>
      <c r="M544" s="15"/>
      <c r="N544" s="15"/>
      <c r="P544" s="15"/>
    </row>
    <row r="545" spans="1:16" ht="12.75">
      <c r="A545" s="49"/>
      <c r="B545" s="49"/>
      <c r="C545" s="49"/>
      <c r="D545" s="39"/>
      <c r="E545" s="40"/>
      <c r="H545" s="49"/>
      <c r="I545" s="49"/>
      <c r="J545" s="41"/>
      <c r="K545" s="15"/>
      <c r="L545" s="15"/>
      <c r="M545" s="15"/>
      <c r="N545" s="15"/>
      <c r="P545" s="15"/>
    </row>
    <row r="546" spans="1:16" ht="12.75">
      <c r="A546" s="49"/>
      <c r="B546" s="49"/>
      <c r="C546" s="49"/>
      <c r="D546" s="39"/>
      <c r="E546" s="40"/>
      <c r="H546" s="49"/>
      <c r="I546" s="49"/>
      <c r="J546" s="41"/>
      <c r="K546" s="15"/>
      <c r="L546" s="15"/>
      <c r="M546" s="15"/>
      <c r="N546" s="15"/>
      <c r="P546" s="15"/>
    </row>
    <row r="547" spans="1:16" ht="12.75">
      <c r="A547" s="49"/>
      <c r="B547" s="49"/>
      <c r="C547" s="49"/>
      <c r="D547" s="39"/>
      <c r="E547" s="40"/>
      <c r="H547" s="49"/>
      <c r="I547" s="49"/>
      <c r="J547" s="41"/>
      <c r="K547" s="15"/>
      <c r="L547" s="15"/>
      <c r="M547" s="15"/>
      <c r="N547" s="15"/>
      <c r="P547" s="15"/>
    </row>
    <row r="548" spans="1:16" ht="12.75">
      <c r="A548" s="49"/>
      <c r="B548" s="49"/>
      <c r="C548" s="49"/>
      <c r="D548" s="39"/>
      <c r="E548" s="40"/>
      <c r="H548" s="49"/>
      <c r="I548" s="49"/>
      <c r="J548" s="41"/>
      <c r="K548" s="15"/>
      <c r="L548" s="15"/>
      <c r="M548" s="15"/>
      <c r="N548" s="15"/>
      <c r="P548" s="15"/>
    </row>
    <row r="549" spans="1:16" ht="12.75">
      <c r="A549" s="49"/>
      <c r="B549" s="49"/>
      <c r="C549" s="49"/>
      <c r="D549" s="39"/>
      <c r="E549" s="40"/>
      <c r="H549" s="49"/>
      <c r="I549" s="49"/>
      <c r="J549" s="41"/>
      <c r="K549" s="15"/>
      <c r="L549" s="15"/>
      <c r="M549" s="15"/>
      <c r="N549" s="15"/>
      <c r="P549" s="15"/>
    </row>
    <row r="550" spans="1:16" ht="12.75">
      <c r="A550" s="49"/>
      <c r="B550" s="49"/>
      <c r="C550" s="49"/>
      <c r="D550" s="39"/>
      <c r="E550" s="40"/>
      <c r="H550" s="49"/>
      <c r="I550" s="49"/>
      <c r="J550" s="41"/>
      <c r="K550" s="15"/>
      <c r="L550" s="15"/>
      <c r="M550" s="15"/>
      <c r="N550" s="15"/>
      <c r="P550" s="15"/>
    </row>
    <row r="551" spans="1:16" ht="12.75">
      <c r="A551" s="49"/>
      <c r="B551" s="49"/>
      <c r="C551" s="49"/>
      <c r="D551" s="39"/>
      <c r="E551" s="40"/>
      <c r="H551" s="49"/>
      <c r="I551" s="49"/>
      <c r="J551" s="41"/>
      <c r="K551" s="15"/>
      <c r="L551" s="15"/>
      <c r="M551" s="15"/>
      <c r="N551" s="15"/>
      <c r="P551" s="15"/>
    </row>
    <row r="552" spans="1:16" ht="12.75">
      <c r="A552" s="49"/>
      <c r="B552" s="49"/>
      <c r="C552" s="49"/>
      <c r="D552" s="39"/>
      <c r="E552" s="40"/>
      <c r="H552" s="49"/>
      <c r="I552" s="49"/>
      <c r="J552" s="41"/>
      <c r="K552" s="15"/>
      <c r="L552" s="15"/>
      <c r="M552" s="15"/>
      <c r="N552" s="15"/>
      <c r="P552" s="15"/>
    </row>
    <row r="553" spans="1:16" ht="12.75">
      <c r="A553" s="49"/>
      <c r="B553" s="49"/>
      <c r="C553" s="49"/>
      <c r="D553" s="39"/>
      <c r="E553" s="40"/>
      <c r="H553" s="49"/>
      <c r="I553" s="49"/>
      <c r="J553" s="41"/>
      <c r="K553" s="15"/>
      <c r="L553" s="15"/>
      <c r="M553" s="15"/>
      <c r="N553" s="15"/>
      <c r="P553" s="15"/>
    </row>
    <row r="554" spans="1:16" ht="12.75">
      <c r="A554" s="49"/>
      <c r="B554" s="49"/>
      <c r="C554" s="49"/>
      <c r="D554" s="39"/>
      <c r="E554" s="40"/>
      <c r="H554" s="49"/>
      <c r="I554" s="49"/>
      <c r="J554" s="41"/>
      <c r="K554" s="15"/>
      <c r="L554" s="15"/>
      <c r="M554" s="15"/>
      <c r="N554" s="15"/>
      <c r="P554" s="15"/>
    </row>
    <row r="555" spans="1:16" ht="12.75">
      <c r="A555" s="49"/>
      <c r="B555" s="49"/>
      <c r="C555" s="49"/>
      <c r="D555" s="39"/>
      <c r="E555" s="40"/>
      <c r="H555" s="49"/>
      <c r="I555" s="49"/>
      <c r="J555" s="41"/>
      <c r="K555" s="15"/>
      <c r="L555" s="15"/>
      <c r="M555" s="15"/>
      <c r="N555" s="15"/>
      <c r="P555" s="15"/>
    </row>
    <row r="556" spans="1:16" ht="12.75">
      <c r="A556" s="49"/>
      <c r="B556" s="49"/>
      <c r="C556" s="49"/>
      <c r="D556" s="39"/>
      <c r="E556" s="40"/>
      <c r="H556" s="49"/>
      <c r="I556" s="49"/>
      <c r="J556" s="41"/>
      <c r="K556" s="15"/>
      <c r="L556" s="15"/>
      <c r="M556" s="15"/>
      <c r="N556" s="15"/>
      <c r="P556" s="15"/>
    </row>
    <row r="557" spans="1:16" ht="12.75">
      <c r="A557" s="49"/>
      <c r="B557" s="49"/>
      <c r="C557" s="49"/>
      <c r="D557" s="39"/>
      <c r="E557" s="40"/>
      <c r="H557" s="49"/>
      <c r="I557" s="49"/>
      <c r="J557" s="41"/>
      <c r="K557" s="15"/>
      <c r="L557" s="15"/>
      <c r="M557" s="15"/>
      <c r="N557" s="15"/>
      <c r="P557" s="15"/>
    </row>
    <row r="558" spans="1:16" ht="12.75">
      <c r="A558" s="49"/>
      <c r="B558" s="49"/>
      <c r="C558" s="49"/>
      <c r="D558" s="39"/>
      <c r="E558" s="40"/>
      <c r="H558" s="49"/>
      <c r="I558" s="49"/>
      <c r="J558" s="41"/>
      <c r="K558" s="15"/>
      <c r="L558" s="15"/>
      <c r="M558" s="15"/>
      <c r="N558" s="15"/>
      <c r="P558" s="15"/>
    </row>
    <row r="559" spans="1:16" ht="12.75">
      <c r="A559" s="49"/>
      <c r="B559" s="49"/>
      <c r="C559" s="49"/>
      <c r="D559" s="39"/>
      <c r="E559" s="40"/>
      <c r="H559" s="49"/>
      <c r="I559" s="49"/>
      <c r="J559" s="41"/>
      <c r="K559" s="15"/>
      <c r="L559" s="15"/>
      <c r="M559" s="15"/>
      <c r="N559" s="15"/>
      <c r="P559" s="15"/>
    </row>
    <row r="560" spans="1:16" ht="12.75">
      <c r="A560" s="49"/>
      <c r="B560" s="49"/>
      <c r="C560" s="49"/>
      <c r="D560" s="39"/>
      <c r="E560" s="40"/>
      <c r="H560" s="49"/>
      <c r="I560" s="49"/>
      <c r="J560" s="41"/>
      <c r="K560" s="15"/>
      <c r="L560" s="15"/>
      <c r="M560" s="15"/>
      <c r="N560" s="15"/>
      <c r="P560" s="15"/>
    </row>
    <row r="561" spans="1:16" ht="12.75">
      <c r="A561" s="49"/>
      <c r="B561" s="49"/>
      <c r="C561" s="49"/>
      <c r="D561" s="39"/>
      <c r="E561" s="40"/>
      <c r="H561" s="49"/>
      <c r="I561" s="49"/>
      <c r="J561" s="41"/>
      <c r="K561" s="15"/>
      <c r="L561" s="15"/>
      <c r="M561" s="15"/>
      <c r="N561" s="15"/>
      <c r="P561" s="15"/>
    </row>
    <row r="562" spans="1:16" ht="12.75">
      <c r="A562" s="49"/>
      <c r="B562" s="49"/>
      <c r="C562" s="49"/>
      <c r="D562" s="39"/>
      <c r="E562" s="40"/>
      <c r="H562" s="49"/>
      <c r="I562" s="49"/>
      <c r="J562" s="41"/>
      <c r="K562" s="15"/>
      <c r="L562" s="15"/>
      <c r="M562" s="15"/>
      <c r="N562" s="15"/>
      <c r="P562" s="15"/>
    </row>
    <row r="563" spans="1:16" ht="12.75">
      <c r="A563" s="49"/>
      <c r="B563" s="49"/>
      <c r="C563" s="49"/>
      <c r="D563" s="39"/>
      <c r="E563" s="40"/>
      <c r="H563" s="49"/>
      <c r="I563" s="49"/>
      <c r="J563" s="41"/>
      <c r="K563" s="15"/>
      <c r="L563" s="15"/>
      <c r="M563" s="15"/>
      <c r="N563" s="15"/>
      <c r="P563" s="15"/>
    </row>
    <row r="564" spans="1:16" ht="12.75">
      <c r="A564" s="49"/>
      <c r="B564" s="49"/>
      <c r="C564" s="49"/>
      <c r="D564" s="39"/>
      <c r="E564" s="40"/>
      <c r="H564" s="49"/>
      <c r="I564" s="49"/>
      <c r="J564" s="41"/>
      <c r="K564" s="15"/>
      <c r="L564" s="15"/>
      <c r="M564" s="15"/>
      <c r="N564" s="15"/>
      <c r="P564" s="15"/>
    </row>
    <row r="565" spans="1:16" ht="12.75">
      <c r="A565" s="49"/>
      <c r="B565" s="49"/>
      <c r="C565" s="49"/>
      <c r="D565" s="39"/>
      <c r="E565" s="40"/>
      <c r="H565" s="49"/>
      <c r="I565" s="49"/>
      <c r="J565" s="41"/>
      <c r="K565" s="15"/>
      <c r="L565" s="15"/>
      <c r="M565" s="15"/>
      <c r="N565" s="15"/>
      <c r="P565" s="15"/>
    </row>
    <row r="566" spans="1:16" ht="12.75">
      <c r="A566" s="49"/>
      <c r="B566" s="49"/>
      <c r="C566" s="49"/>
      <c r="D566" s="39"/>
      <c r="E566" s="40"/>
      <c r="H566" s="49"/>
      <c r="I566" s="49"/>
      <c r="J566" s="41"/>
      <c r="K566" s="15"/>
      <c r="L566" s="15"/>
      <c r="M566" s="15"/>
      <c r="N566" s="15"/>
      <c r="P566" s="15"/>
    </row>
    <row r="567" spans="1:16" ht="12.75">
      <c r="A567" s="49"/>
      <c r="B567" s="49"/>
      <c r="C567" s="49"/>
      <c r="D567" s="39"/>
      <c r="E567" s="40"/>
      <c r="H567" s="49"/>
      <c r="I567" s="49"/>
      <c r="J567" s="41"/>
      <c r="K567" s="15"/>
      <c r="L567" s="15"/>
      <c r="M567" s="15"/>
      <c r="N567" s="15"/>
      <c r="P567" s="15"/>
    </row>
    <row r="568" spans="1:16" ht="12.75">
      <c r="A568" s="49"/>
      <c r="B568" s="49"/>
      <c r="C568" s="49"/>
      <c r="D568" s="39"/>
      <c r="E568" s="40"/>
      <c r="H568" s="49"/>
      <c r="I568" s="49"/>
      <c r="J568" s="41"/>
      <c r="K568" s="15"/>
      <c r="L568" s="15"/>
      <c r="M568" s="15"/>
      <c r="N568" s="15"/>
      <c r="P568" s="15"/>
    </row>
    <row r="569" spans="1:16" ht="12.75">
      <c r="A569" s="49"/>
      <c r="B569" s="49"/>
      <c r="C569" s="49"/>
      <c r="D569" s="39"/>
      <c r="E569" s="40"/>
      <c r="H569" s="49"/>
      <c r="I569" s="49"/>
      <c r="J569" s="41"/>
      <c r="K569" s="15"/>
      <c r="L569" s="15"/>
      <c r="M569" s="15"/>
      <c r="N569" s="15"/>
      <c r="P569" s="15"/>
    </row>
    <row r="570" spans="1:16" ht="12.75">
      <c r="A570" s="49"/>
      <c r="B570" s="49"/>
      <c r="C570" s="49"/>
      <c r="D570" s="39"/>
      <c r="E570" s="40"/>
      <c r="H570" s="49"/>
      <c r="I570" s="49"/>
      <c r="J570" s="41"/>
      <c r="K570" s="15"/>
      <c r="L570" s="15"/>
      <c r="M570" s="15"/>
      <c r="N570" s="15"/>
      <c r="P570" s="15"/>
    </row>
    <row r="571" spans="1:16" ht="12.75">
      <c r="A571" s="49"/>
      <c r="B571" s="49"/>
      <c r="C571" s="49"/>
      <c r="D571" s="39"/>
      <c r="E571" s="40"/>
      <c r="H571" s="49"/>
      <c r="I571" s="49"/>
      <c r="J571" s="41"/>
      <c r="K571" s="15"/>
      <c r="L571" s="15"/>
      <c r="M571" s="15"/>
      <c r="N571" s="15"/>
      <c r="P571" s="15"/>
    </row>
    <row r="572" spans="1:16" ht="12.75">
      <c r="A572" s="49"/>
      <c r="B572" s="49"/>
      <c r="C572" s="49"/>
      <c r="D572" s="39"/>
      <c r="E572" s="40"/>
      <c r="H572" s="49"/>
      <c r="I572" s="49"/>
      <c r="J572" s="41"/>
      <c r="K572" s="15"/>
      <c r="L572" s="15"/>
      <c r="M572" s="15"/>
      <c r="N572" s="15"/>
      <c r="P572" s="15"/>
    </row>
    <row r="573" spans="1:16" ht="12.75">
      <c r="A573" s="49"/>
      <c r="B573" s="49"/>
      <c r="C573" s="49"/>
      <c r="D573" s="39"/>
      <c r="E573" s="40"/>
      <c r="H573" s="49"/>
      <c r="I573" s="49"/>
      <c r="J573" s="41"/>
      <c r="K573" s="15"/>
      <c r="L573" s="15"/>
      <c r="M573" s="15"/>
      <c r="N573" s="15"/>
      <c r="P573" s="15"/>
    </row>
    <row r="574" spans="1:16" ht="12.75">
      <c r="A574" s="49"/>
      <c r="B574" s="49"/>
      <c r="C574" s="49"/>
      <c r="D574" s="39"/>
      <c r="E574" s="40"/>
      <c r="H574" s="49"/>
      <c r="I574" s="49"/>
      <c r="J574" s="41"/>
      <c r="K574" s="15"/>
      <c r="L574" s="15"/>
      <c r="M574" s="15"/>
      <c r="N574" s="15"/>
      <c r="P574" s="15"/>
    </row>
    <row r="575" spans="1:16" ht="12.75">
      <c r="A575" s="49"/>
      <c r="B575" s="49"/>
      <c r="C575" s="49"/>
      <c r="D575" s="39"/>
      <c r="E575" s="40"/>
      <c r="H575" s="49"/>
      <c r="I575" s="49"/>
      <c r="J575" s="41"/>
      <c r="K575" s="15"/>
      <c r="L575" s="15"/>
      <c r="M575" s="15"/>
      <c r="N575" s="15"/>
      <c r="P575" s="15"/>
    </row>
    <row r="576" spans="1:16" ht="12.75">
      <c r="A576" s="49"/>
      <c r="B576" s="49"/>
      <c r="C576" s="49"/>
      <c r="D576" s="39"/>
      <c r="E576" s="40"/>
      <c r="H576" s="49"/>
      <c r="I576" s="49"/>
      <c r="J576" s="41"/>
      <c r="K576" s="15"/>
      <c r="L576" s="15"/>
      <c r="M576" s="15"/>
      <c r="N576" s="15"/>
      <c r="P576" s="15"/>
    </row>
    <row r="577" spans="1:16" ht="12.75">
      <c r="A577" s="49"/>
      <c r="B577" s="49"/>
      <c r="C577" s="49"/>
      <c r="D577" s="39"/>
      <c r="E577" s="40"/>
      <c r="H577" s="49"/>
      <c r="I577" s="49"/>
      <c r="J577" s="41"/>
      <c r="K577" s="15"/>
      <c r="L577" s="15"/>
      <c r="M577" s="15"/>
      <c r="N577" s="15"/>
      <c r="P577" s="15"/>
    </row>
    <row r="578" spans="1:16" ht="12.75">
      <c r="A578" s="49"/>
      <c r="B578" s="49"/>
      <c r="C578" s="49"/>
      <c r="D578" s="39"/>
      <c r="E578" s="40"/>
      <c r="H578" s="49"/>
      <c r="I578" s="49"/>
      <c r="J578" s="41"/>
      <c r="K578" s="15"/>
      <c r="L578" s="15"/>
      <c r="M578" s="15"/>
      <c r="N578" s="15"/>
      <c r="P578" s="15"/>
    </row>
    <row r="579" spans="1:16" ht="12.75">
      <c r="A579" s="49"/>
      <c r="B579" s="49"/>
      <c r="C579" s="49"/>
      <c r="D579" s="39"/>
      <c r="E579" s="40"/>
      <c r="H579" s="49"/>
      <c r="I579" s="49"/>
      <c r="J579" s="41"/>
      <c r="K579" s="15"/>
      <c r="L579" s="15"/>
      <c r="M579" s="15"/>
      <c r="N579" s="15"/>
      <c r="P579" s="15"/>
    </row>
    <row r="580" spans="1:16" ht="12.75">
      <c r="A580" s="49"/>
      <c r="B580" s="49"/>
      <c r="C580" s="49"/>
      <c r="D580" s="39"/>
      <c r="E580" s="40"/>
      <c r="H580" s="49"/>
      <c r="I580" s="49"/>
      <c r="J580" s="41"/>
      <c r="K580" s="15"/>
      <c r="L580" s="15"/>
      <c r="M580" s="15"/>
      <c r="N580" s="15"/>
      <c r="P580" s="15"/>
    </row>
    <row r="581" spans="1:16" ht="12.75">
      <c r="A581" s="49"/>
      <c r="B581" s="49"/>
      <c r="C581" s="49"/>
      <c r="D581" s="39"/>
      <c r="E581" s="40"/>
      <c r="H581" s="49"/>
      <c r="I581" s="49"/>
      <c r="J581" s="41"/>
      <c r="K581" s="15"/>
      <c r="L581" s="15"/>
      <c r="M581" s="15"/>
      <c r="N581" s="15"/>
      <c r="P581" s="15"/>
    </row>
    <row r="582" spans="1:16" ht="12.75">
      <c r="A582" s="49"/>
      <c r="B582" s="49"/>
      <c r="C582" s="49"/>
      <c r="D582" s="39"/>
      <c r="E582" s="40"/>
      <c r="H582" s="49"/>
      <c r="I582" s="49"/>
      <c r="J582" s="41"/>
      <c r="K582" s="15"/>
      <c r="L582" s="15"/>
      <c r="M582" s="15"/>
      <c r="N582" s="15"/>
      <c r="P582" s="15"/>
    </row>
    <row r="583" spans="1:16" ht="12.75">
      <c r="A583" s="49"/>
      <c r="B583" s="49"/>
      <c r="C583" s="49"/>
      <c r="D583" s="39"/>
      <c r="E583" s="40"/>
      <c r="H583" s="49"/>
      <c r="I583" s="49"/>
      <c r="J583" s="41"/>
      <c r="K583" s="15"/>
      <c r="L583" s="15"/>
      <c r="M583" s="15"/>
      <c r="N583" s="15"/>
      <c r="P583" s="15"/>
    </row>
    <row r="584" spans="1:16" ht="12.75">
      <c r="A584" s="49"/>
      <c r="B584" s="49"/>
      <c r="C584" s="49"/>
      <c r="D584" s="39"/>
      <c r="E584" s="40"/>
      <c r="H584" s="49"/>
      <c r="I584" s="49"/>
      <c r="J584" s="41"/>
      <c r="K584" s="15"/>
      <c r="L584" s="15"/>
      <c r="M584" s="15"/>
      <c r="N584" s="15"/>
      <c r="P584" s="15"/>
    </row>
    <row r="585" spans="1:16" ht="12.75">
      <c r="A585" s="49"/>
      <c r="B585" s="49"/>
      <c r="C585" s="49"/>
      <c r="D585" s="39"/>
      <c r="E585" s="40"/>
      <c r="H585" s="49"/>
      <c r="I585" s="49"/>
      <c r="J585" s="41"/>
      <c r="K585" s="15"/>
      <c r="L585" s="15"/>
      <c r="M585" s="15"/>
      <c r="N585" s="15"/>
      <c r="P585" s="15"/>
    </row>
    <row r="586" spans="1:16" ht="12.75">
      <c r="A586" s="49"/>
      <c r="B586" s="49"/>
      <c r="C586" s="49"/>
      <c r="D586" s="39"/>
      <c r="E586" s="40"/>
      <c r="H586" s="49"/>
      <c r="I586" s="49"/>
      <c r="J586" s="41"/>
      <c r="K586" s="15"/>
      <c r="L586" s="15"/>
      <c r="M586" s="15"/>
      <c r="N586" s="15"/>
      <c r="P586" s="15"/>
    </row>
    <row r="587" spans="1:16" ht="12.75">
      <c r="A587" s="49"/>
      <c r="B587" s="49"/>
      <c r="C587" s="49"/>
      <c r="D587" s="39"/>
      <c r="E587" s="40"/>
      <c r="H587" s="49"/>
      <c r="I587" s="49"/>
      <c r="J587" s="41"/>
      <c r="K587" s="15"/>
      <c r="L587" s="15"/>
      <c r="M587" s="15"/>
      <c r="N587" s="15"/>
      <c r="P587" s="15"/>
    </row>
    <row r="588" spans="1:16" ht="12.75">
      <c r="A588" s="49"/>
      <c r="B588" s="49"/>
      <c r="C588" s="49"/>
      <c r="D588" s="39"/>
      <c r="E588" s="40"/>
      <c r="H588" s="49"/>
      <c r="I588" s="49"/>
      <c r="J588" s="41"/>
      <c r="K588" s="15"/>
      <c r="L588" s="15"/>
      <c r="M588" s="15"/>
      <c r="N588" s="15"/>
      <c r="P588" s="15"/>
    </row>
    <row r="589" spans="1:16" ht="12.75">
      <c r="A589" s="49"/>
      <c r="B589" s="49"/>
      <c r="C589" s="49"/>
      <c r="D589" s="39"/>
      <c r="E589" s="40"/>
      <c r="H589" s="49"/>
      <c r="I589" s="49"/>
      <c r="J589" s="41"/>
      <c r="K589" s="15"/>
      <c r="L589" s="15"/>
      <c r="M589" s="15"/>
      <c r="N589" s="15"/>
      <c r="P589" s="15"/>
    </row>
    <row r="590" spans="1:16" ht="12.75">
      <c r="A590" s="49"/>
      <c r="B590" s="49"/>
      <c r="C590" s="49"/>
      <c r="D590" s="39"/>
      <c r="E590" s="40"/>
      <c r="H590" s="49"/>
      <c r="I590" s="49"/>
      <c r="J590" s="41"/>
      <c r="K590" s="15"/>
      <c r="L590" s="15"/>
      <c r="M590" s="15"/>
      <c r="N590" s="15"/>
      <c r="P590" s="15"/>
    </row>
    <row r="591" spans="1:16" ht="12.75">
      <c r="A591" s="49"/>
      <c r="B591" s="49"/>
      <c r="C591" s="49"/>
      <c r="D591" s="39"/>
      <c r="E591" s="40"/>
      <c r="H591" s="49"/>
      <c r="I591" s="49"/>
      <c r="J591" s="41"/>
      <c r="K591" s="15"/>
      <c r="L591" s="15"/>
      <c r="M591" s="15"/>
      <c r="N591" s="15"/>
      <c r="P591" s="15"/>
    </row>
    <row r="592" spans="1:16" ht="12.75">
      <c r="A592" s="49"/>
      <c r="B592" s="49"/>
      <c r="C592" s="49"/>
      <c r="D592" s="39"/>
      <c r="E592" s="40"/>
      <c r="H592" s="49"/>
      <c r="I592" s="49"/>
      <c r="J592" s="41"/>
      <c r="K592" s="15"/>
      <c r="L592" s="15"/>
      <c r="M592" s="15"/>
      <c r="N592" s="15"/>
      <c r="P592" s="15"/>
    </row>
    <row r="593" spans="1:16" ht="12.75">
      <c r="A593" s="49"/>
      <c r="B593" s="49"/>
      <c r="C593" s="49"/>
      <c r="D593" s="39"/>
      <c r="E593" s="40"/>
      <c r="H593" s="49"/>
      <c r="I593" s="49"/>
      <c r="J593" s="41"/>
      <c r="K593" s="15"/>
      <c r="L593" s="15"/>
      <c r="M593" s="15"/>
      <c r="N593" s="15"/>
      <c r="P593" s="15"/>
    </row>
    <row r="594" spans="1:16" ht="12.75">
      <c r="A594" s="49"/>
      <c r="B594" s="49"/>
      <c r="C594" s="49"/>
      <c r="D594" s="39"/>
      <c r="E594" s="40"/>
      <c r="H594" s="49"/>
      <c r="I594" s="49"/>
      <c r="J594" s="41"/>
      <c r="K594" s="15"/>
      <c r="L594" s="15"/>
      <c r="M594" s="15"/>
      <c r="N594" s="15"/>
      <c r="P594" s="15"/>
    </row>
    <row r="595" spans="1:16" ht="12.75">
      <c r="A595" s="49"/>
      <c r="B595" s="49"/>
      <c r="C595" s="49"/>
      <c r="D595" s="39"/>
      <c r="E595" s="40"/>
      <c r="H595" s="49"/>
      <c r="I595" s="49"/>
      <c r="J595" s="41"/>
      <c r="K595" s="15"/>
      <c r="L595" s="15"/>
      <c r="M595" s="15"/>
      <c r="N595" s="15"/>
      <c r="P595" s="15"/>
    </row>
    <row r="596" spans="1:16" ht="12.75">
      <c r="A596" s="49"/>
      <c r="B596" s="49"/>
      <c r="C596" s="49"/>
      <c r="D596" s="39"/>
      <c r="E596" s="40"/>
      <c r="H596" s="49"/>
      <c r="I596" s="49"/>
      <c r="J596" s="41"/>
      <c r="K596" s="15"/>
      <c r="L596" s="15"/>
      <c r="M596" s="15"/>
      <c r="N596" s="15"/>
      <c r="P596" s="15"/>
    </row>
    <row r="597" spans="1:16" ht="12.75">
      <c r="A597" s="49"/>
      <c r="B597" s="49"/>
      <c r="C597" s="49"/>
      <c r="D597" s="39"/>
      <c r="E597" s="40"/>
      <c r="H597" s="49"/>
      <c r="I597" s="49"/>
      <c r="J597" s="41"/>
      <c r="K597" s="15"/>
      <c r="L597" s="15"/>
      <c r="M597" s="15"/>
      <c r="N597" s="15"/>
      <c r="P597" s="15"/>
    </row>
    <row r="598" spans="1:16" ht="12.75">
      <c r="A598" s="49"/>
      <c r="B598" s="49"/>
      <c r="C598" s="49"/>
      <c r="D598" s="39"/>
      <c r="E598" s="40"/>
      <c r="H598" s="49"/>
      <c r="I598" s="49"/>
      <c r="J598" s="41"/>
      <c r="K598" s="15"/>
      <c r="L598" s="15"/>
      <c r="M598" s="15"/>
      <c r="N598" s="15"/>
      <c r="P598" s="15"/>
    </row>
    <row r="599" spans="1:16" ht="12.75">
      <c r="A599" s="49"/>
      <c r="B599" s="49"/>
      <c r="C599" s="49"/>
      <c r="D599" s="39"/>
      <c r="E599" s="40"/>
      <c r="H599" s="49"/>
      <c r="I599" s="49"/>
      <c r="J599" s="41"/>
      <c r="K599" s="15"/>
      <c r="L599" s="15"/>
      <c r="M599" s="15"/>
      <c r="N599" s="15"/>
      <c r="P599" s="15"/>
    </row>
    <row r="600" spans="1:16" ht="12.75">
      <c r="A600" s="49"/>
      <c r="B600" s="49"/>
      <c r="C600" s="49"/>
      <c r="D600" s="39"/>
      <c r="E600" s="40"/>
      <c r="H600" s="49"/>
      <c r="I600" s="49"/>
      <c r="J600" s="41"/>
      <c r="K600" s="15"/>
      <c r="L600" s="15"/>
      <c r="M600" s="15"/>
      <c r="N600" s="15"/>
      <c r="P600" s="15"/>
    </row>
    <row r="601" spans="1:16" ht="12.75">
      <c r="A601" s="49"/>
      <c r="B601" s="49"/>
      <c r="C601" s="49"/>
      <c r="D601" s="39"/>
      <c r="E601" s="40"/>
      <c r="H601" s="49"/>
      <c r="I601" s="49"/>
      <c r="J601" s="41"/>
      <c r="K601" s="15"/>
      <c r="L601" s="15"/>
      <c r="M601" s="15"/>
      <c r="N601" s="15"/>
      <c r="P601" s="15"/>
    </row>
    <row r="602" spans="1:16" ht="12.75">
      <c r="A602" s="49"/>
      <c r="B602" s="49"/>
      <c r="C602" s="49"/>
      <c r="D602" s="39"/>
      <c r="E602" s="40"/>
      <c r="H602" s="49"/>
      <c r="I602" s="49"/>
      <c r="J602" s="41"/>
      <c r="K602" s="15"/>
      <c r="L602" s="15"/>
      <c r="M602" s="15"/>
      <c r="N602" s="15"/>
      <c r="P602" s="15"/>
    </row>
    <row r="603" spans="1:16" ht="12.75">
      <c r="A603" s="49"/>
      <c r="B603" s="49"/>
      <c r="C603" s="49"/>
      <c r="D603" s="39"/>
      <c r="E603" s="40"/>
      <c r="H603" s="49"/>
      <c r="I603" s="49"/>
      <c r="J603" s="41"/>
      <c r="K603" s="15"/>
      <c r="L603" s="15"/>
      <c r="M603" s="15"/>
      <c r="N603" s="15"/>
      <c r="P603" s="15"/>
    </row>
    <row r="604" spans="1:16" ht="12.75">
      <c r="A604" s="49"/>
      <c r="B604" s="49"/>
      <c r="C604" s="49"/>
      <c r="D604" s="39"/>
      <c r="E604" s="40"/>
      <c r="H604" s="49"/>
      <c r="I604" s="49"/>
      <c r="J604" s="41"/>
      <c r="K604" s="15"/>
      <c r="L604" s="15"/>
      <c r="M604" s="15"/>
      <c r="N604" s="15"/>
      <c r="P604" s="15"/>
    </row>
    <row r="605" spans="1:16" ht="12.75">
      <c r="A605" s="49"/>
      <c r="B605" s="49"/>
      <c r="C605" s="49"/>
      <c r="D605" s="39"/>
      <c r="E605" s="40"/>
      <c r="H605" s="49"/>
      <c r="I605" s="49"/>
      <c r="J605" s="41"/>
      <c r="K605" s="15"/>
      <c r="L605" s="15"/>
      <c r="M605" s="15"/>
      <c r="N605" s="15"/>
      <c r="P605" s="15"/>
    </row>
    <row r="606" spans="1:16" ht="12.75">
      <c r="A606" s="49"/>
      <c r="B606" s="49"/>
      <c r="C606" s="49"/>
      <c r="D606" s="39"/>
      <c r="E606" s="40"/>
      <c r="H606" s="49"/>
      <c r="I606" s="49"/>
      <c r="J606" s="41"/>
      <c r="K606" s="15"/>
      <c r="L606" s="15"/>
      <c r="M606" s="15"/>
      <c r="N606" s="15"/>
      <c r="P606" s="15"/>
    </row>
    <row r="607" spans="1:16" ht="12.75">
      <c r="A607" s="49"/>
      <c r="B607" s="49"/>
      <c r="C607" s="49"/>
      <c r="D607" s="39"/>
      <c r="E607" s="40"/>
      <c r="H607" s="49"/>
      <c r="I607" s="49"/>
      <c r="J607" s="41"/>
      <c r="K607" s="15"/>
      <c r="L607" s="15"/>
      <c r="M607" s="15"/>
      <c r="N607" s="15"/>
      <c r="P607" s="15"/>
    </row>
    <row r="608" spans="1:16" ht="12.75">
      <c r="A608" s="49"/>
      <c r="B608" s="49"/>
      <c r="C608" s="49"/>
      <c r="D608" s="39"/>
      <c r="E608" s="40"/>
      <c r="H608" s="49"/>
      <c r="I608" s="49"/>
      <c r="J608" s="41"/>
      <c r="K608" s="15"/>
      <c r="L608" s="15"/>
      <c r="M608" s="15"/>
      <c r="N608" s="15"/>
      <c r="P608" s="15"/>
    </row>
    <row r="609" spans="1:16" ht="12.75">
      <c r="A609" s="49"/>
      <c r="B609" s="49"/>
      <c r="C609" s="49"/>
      <c r="D609" s="39"/>
      <c r="E609" s="40"/>
      <c r="H609" s="49"/>
      <c r="I609" s="49"/>
      <c r="J609" s="41"/>
      <c r="K609" s="15"/>
      <c r="L609" s="15"/>
      <c r="M609" s="15"/>
      <c r="N609" s="15"/>
      <c r="P609" s="15"/>
    </row>
    <row r="610" spans="1:16" ht="12.75">
      <c r="A610" s="49"/>
      <c r="B610" s="49"/>
      <c r="C610" s="49"/>
      <c r="D610" s="39"/>
      <c r="E610" s="40"/>
      <c r="H610" s="49"/>
      <c r="I610" s="49"/>
      <c r="J610" s="41"/>
      <c r="K610" s="15"/>
      <c r="L610" s="15"/>
      <c r="M610" s="15"/>
      <c r="N610" s="15"/>
      <c r="P610" s="15"/>
    </row>
    <row r="611" spans="1:16" ht="12.75">
      <c r="A611" s="49"/>
      <c r="B611" s="49"/>
      <c r="C611" s="49"/>
      <c r="D611" s="39"/>
      <c r="E611" s="40"/>
      <c r="H611" s="49"/>
      <c r="I611" s="49"/>
      <c r="J611" s="41"/>
      <c r="K611" s="15"/>
      <c r="L611" s="15"/>
      <c r="M611" s="15"/>
      <c r="N611" s="15"/>
      <c r="P611" s="15"/>
    </row>
    <row r="612" spans="1:16" ht="12.75">
      <c r="A612" s="49"/>
      <c r="B612" s="49"/>
      <c r="C612" s="49"/>
      <c r="D612" s="39"/>
      <c r="E612" s="40"/>
      <c r="H612" s="49"/>
      <c r="I612" s="49"/>
      <c r="J612" s="41"/>
      <c r="K612" s="15"/>
      <c r="L612" s="15"/>
      <c r="M612" s="15"/>
      <c r="N612" s="15"/>
      <c r="P612" s="15"/>
    </row>
    <row r="613" spans="1:16" ht="12.75">
      <c r="A613" s="49"/>
      <c r="B613" s="49"/>
      <c r="C613" s="49"/>
      <c r="D613" s="39"/>
      <c r="E613" s="40"/>
      <c r="H613" s="49"/>
      <c r="I613" s="49"/>
      <c r="J613" s="41"/>
      <c r="K613" s="15"/>
      <c r="L613" s="15"/>
      <c r="M613" s="15"/>
      <c r="N613" s="15"/>
      <c r="P613" s="15"/>
    </row>
    <row r="614" spans="1:16" ht="12.75">
      <c r="A614" s="49"/>
      <c r="B614" s="49"/>
      <c r="C614" s="49"/>
      <c r="D614" s="39"/>
      <c r="E614" s="40"/>
      <c r="H614" s="49"/>
      <c r="I614" s="49"/>
      <c r="J614" s="41"/>
      <c r="K614" s="15"/>
      <c r="L614" s="15"/>
      <c r="M614" s="15"/>
      <c r="N614" s="15"/>
      <c r="P614" s="15"/>
    </row>
    <row r="615" spans="1:16" ht="12.75">
      <c r="A615" s="49"/>
      <c r="B615" s="49"/>
      <c r="C615" s="49"/>
      <c r="D615" s="39"/>
      <c r="E615" s="40"/>
      <c r="H615" s="49"/>
      <c r="I615" s="49"/>
      <c r="J615" s="41"/>
      <c r="K615" s="15"/>
      <c r="L615" s="15"/>
      <c r="M615" s="15"/>
      <c r="N615" s="15"/>
      <c r="P615" s="15"/>
    </row>
    <row r="616" spans="1:16" ht="12.75">
      <c r="A616" s="49"/>
      <c r="B616" s="49"/>
      <c r="C616" s="49"/>
      <c r="D616" s="39"/>
      <c r="E616" s="40"/>
      <c r="H616" s="49"/>
      <c r="I616" s="49"/>
      <c r="J616" s="41"/>
      <c r="K616" s="15"/>
      <c r="L616" s="15"/>
      <c r="M616" s="15"/>
      <c r="N616" s="15"/>
      <c r="P616" s="15"/>
    </row>
    <row r="617" spans="1:16" ht="12.75">
      <c r="A617" s="49"/>
      <c r="B617" s="49"/>
      <c r="C617" s="49"/>
      <c r="D617" s="39"/>
      <c r="E617" s="40"/>
      <c r="H617" s="49"/>
      <c r="I617" s="49"/>
      <c r="J617" s="41"/>
      <c r="K617" s="15"/>
      <c r="L617" s="15"/>
      <c r="M617" s="15"/>
      <c r="N617" s="15"/>
      <c r="P617" s="15"/>
    </row>
    <row r="618" spans="1:16" ht="12.75">
      <c r="A618" s="49"/>
      <c r="B618" s="49"/>
      <c r="C618" s="49"/>
      <c r="D618" s="39"/>
      <c r="E618" s="40"/>
      <c r="H618" s="49"/>
      <c r="I618" s="49"/>
      <c r="J618" s="41"/>
      <c r="K618" s="15"/>
      <c r="L618" s="15"/>
      <c r="M618" s="15"/>
      <c r="N618" s="15"/>
      <c r="P618" s="15"/>
    </row>
    <row r="619" spans="1:16" ht="12.75">
      <c r="A619" s="49"/>
      <c r="B619" s="49"/>
      <c r="C619" s="49"/>
      <c r="D619" s="39"/>
      <c r="E619" s="40"/>
      <c r="H619" s="49"/>
      <c r="I619" s="49"/>
      <c r="J619" s="41"/>
      <c r="K619" s="15"/>
      <c r="L619" s="15"/>
      <c r="M619" s="15"/>
      <c r="N619" s="15"/>
      <c r="P619" s="15"/>
    </row>
    <row r="620" spans="1:16" ht="12.75">
      <c r="A620" s="49"/>
      <c r="B620" s="49"/>
      <c r="C620" s="49"/>
      <c r="D620" s="39"/>
      <c r="E620" s="40"/>
      <c r="H620" s="49"/>
      <c r="I620" s="49"/>
      <c r="J620" s="41"/>
      <c r="K620" s="15"/>
      <c r="L620" s="15"/>
      <c r="M620" s="15"/>
      <c r="N620" s="15"/>
      <c r="P620" s="15"/>
    </row>
    <row r="621" spans="1:16" ht="12.75">
      <c r="A621" s="49"/>
      <c r="B621" s="49"/>
      <c r="C621" s="49"/>
      <c r="D621" s="39"/>
      <c r="E621" s="40"/>
      <c r="H621" s="49"/>
      <c r="I621" s="49"/>
      <c r="J621" s="41"/>
      <c r="K621" s="15"/>
      <c r="L621" s="15"/>
      <c r="M621" s="15"/>
      <c r="N621" s="15"/>
      <c r="P621" s="15"/>
    </row>
    <row r="622" spans="1:16" ht="12.75">
      <c r="A622" s="49"/>
      <c r="B622" s="49"/>
      <c r="C622" s="49"/>
      <c r="D622" s="39"/>
      <c r="E622" s="40"/>
      <c r="H622" s="49"/>
      <c r="I622" s="49"/>
      <c r="J622" s="41"/>
      <c r="K622" s="15"/>
      <c r="L622" s="15"/>
      <c r="M622" s="15"/>
      <c r="N622" s="15"/>
      <c r="P622" s="15"/>
    </row>
    <row r="623" spans="1:16" ht="12.75">
      <c r="A623" s="49"/>
      <c r="B623" s="49"/>
      <c r="C623" s="49"/>
      <c r="D623" s="39"/>
      <c r="E623" s="40"/>
      <c r="H623" s="49"/>
      <c r="I623" s="49"/>
      <c r="J623" s="41"/>
      <c r="K623" s="15"/>
      <c r="L623" s="15"/>
      <c r="M623" s="15"/>
      <c r="N623" s="15"/>
      <c r="P623" s="15"/>
    </row>
    <row r="624" spans="1:16" ht="12.75">
      <c r="A624" s="49"/>
      <c r="B624" s="49"/>
      <c r="C624" s="49"/>
      <c r="D624" s="39"/>
      <c r="E624" s="40"/>
      <c r="H624" s="49"/>
      <c r="I624" s="49"/>
      <c r="J624" s="41"/>
      <c r="K624" s="15"/>
      <c r="L624" s="15"/>
      <c r="M624" s="15"/>
      <c r="N624" s="15"/>
      <c r="P624" s="15"/>
    </row>
    <row r="625" spans="1:16" ht="12.75">
      <c r="A625" s="49"/>
      <c r="B625" s="49"/>
      <c r="C625" s="49"/>
      <c r="D625" s="39"/>
      <c r="E625" s="40"/>
      <c r="H625" s="49"/>
      <c r="I625" s="49"/>
      <c r="J625" s="41"/>
      <c r="K625" s="15"/>
      <c r="L625" s="15"/>
      <c r="M625" s="15"/>
      <c r="N625" s="15"/>
      <c r="P625" s="15"/>
    </row>
    <row r="626" spans="1:16" ht="12.75">
      <c r="A626" s="49"/>
      <c r="B626" s="49"/>
      <c r="C626" s="49"/>
      <c r="D626" s="39"/>
      <c r="E626" s="40"/>
      <c r="H626" s="49"/>
      <c r="I626" s="49"/>
      <c r="J626" s="41"/>
      <c r="K626" s="15"/>
      <c r="L626" s="15"/>
      <c r="M626" s="15"/>
      <c r="N626" s="15"/>
      <c r="P626" s="15"/>
    </row>
    <row r="627" spans="1:16" ht="12.75">
      <c r="A627" s="49"/>
      <c r="B627" s="49"/>
      <c r="C627" s="49"/>
      <c r="D627" s="39"/>
      <c r="E627" s="40"/>
      <c r="H627" s="49"/>
      <c r="I627" s="49"/>
      <c r="J627" s="41"/>
      <c r="K627" s="15"/>
      <c r="L627" s="15"/>
      <c r="M627" s="15"/>
      <c r="N627" s="15"/>
      <c r="P627" s="15"/>
    </row>
    <row r="628" spans="1:16" ht="12.75">
      <c r="A628" s="49"/>
      <c r="B628" s="49"/>
      <c r="C628" s="49"/>
      <c r="D628" s="39"/>
      <c r="E628" s="40"/>
      <c r="H628" s="49"/>
      <c r="I628" s="49"/>
      <c r="J628" s="41"/>
      <c r="K628" s="15"/>
      <c r="L628" s="15"/>
      <c r="M628" s="15"/>
      <c r="N628" s="15"/>
      <c r="P628" s="15"/>
    </row>
    <row r="629" spans="1:16" ht="12.75">
      <c r="A629" s="49"/>
      <c r="B629" s="49"/>
      <c r="C629" s="49"/>
      <c r="D629" s="39"/>
      <c r="E629" s="40"/>
      <c r="H629" s="49"/>
      <c r="I629" s="49"/>
      <c r="J629" s="41"/>
      <c r="K629" s="15"/>
      <c r="L629" s="15"/>
      <c r="M629" s="15"/>
      <c r="N629" s="15"/>
      <c r="P629" s="15"/>
    </row>
    <row r="630" spans="1:16" ht="12.75">
      <c r="A630" s="49"/>
      <c r="B630" s="49"/>
      <c r="C630" s="49"/>
      <c r="D630" s="39"/>
      <c r="E630" s="40"/>
      <c r="H630" s="49"/>
      <c r="I630" s="49"/>
      <c r="J630" s="41"/>
      <c r="K630" s="15"/>
      <c r="L630" s="15"/>
      <c r="M630" s="15"/>
      <c r="N630" s="15"/>
      <c r="P630" s="15"/>
    </row>
    <row r="631" spans="1:16" ht="12.75">
      <c r="A631" s="49"/>
      <c r="B631" s="49"/>
      <c r="C631" s="49"/>
      <c r="D631" s="39"/>
      <c r="E631" s="40"/>
      <c r="H631" s="49"/>
      <c r="I631" s="49"/>
      <c r="J631" s="41"/>
      <c r="K631" s="15"/>
      <c r="L631" s="15"/>
      <c r="M631" s="15"/>
      <c r="N631" s="15"/>
      <c r="P631" s="15"/>
    </row>
    <row r="632" spans="1:16" ht="12.75">
      <c r="A632" s="49"/>
      <c r="B632" s="49"/>
      <c r="C632" s="49"/>
      <c r="D632" s="39"/>
      <c r="E632" s="40"/>
      <c r="H632" s="49"/>
      <c r="I632" s="49"/>
      <c r="J632" s="41"/>
      <c r="K632" s="15"/>
      <c r="L632" s="15"/>
      <c r="M632" s="15"/>
      <c r="N632" s="15"/>
      <c r="P632" s="15"/>
    </row>
    <row r="633" spans="1:16" ht="12.75">
      <c r="A633" s="49"/>
      <c r="B633" s="49"/>
      <c r="C633" s="49"/>
      <c r="D633" s="39"/>
      <c r="E633" s="40"/>
      <c r="H633" s="49"/>
      <c r="I633" s="49"/>
      <c r="J633" s="41"/>
      <c r="K633" s="15"/>
      <c r="L633" s="15"/>
      <c r="M633" s="15"/>
      <c r="N633" s="15"/>
      <c r="P633" s="15"/>
    </row>
    <row r="634" spans="1:16" ht="12.75">
      <c r="A634" s="49"/>
      <c r="B634" s="49"/>
      <c r="C634" s="49"/>
      <c r="D634" s="39"/>
      <c r="E634" s="40"/>
      <c r="H634" s="49"/>
      <c r="I634" s="49"/>
      <c r="J634" s="41"/>
      <c r="K634" s="15"/>
      <c r="L634" s="15"/>
      <c r="M634" s="15"/>
      <c r="N634" s="15"/>
      <c r="P634" s="15"/>
    </row>
    <row r="635" spans="1:16" ht="12.75">
      <c r="A635" s="49"/>
      <c r="B635" s="49"/>
      <c r="C635" s="49"/>
      <c r="D635" s="39"/>
      <c r="E635" s="40"/>
      <c r="H635" s="49"/>
      <c r="I635" s="49"/>
      <c r="J635" s="41"/>
      <c r="K635" s="15"/>
      <c r="L635" s="15"/>
      <c r="M635" s="15"/>
      <c r="N635" s="15"/>
      <c r="P635" s="15"/>
    </row>
    <row r="636" spans="1:16" ht="12.75">
      <c r="A636" s="49"/>
      <c r="B636" s="49"/>
      <c r="C636" s="49"/>
      <c r="D636" s="39"/>
      <c r="E636" s="40"/>
      <c r="H636" s="49"/>
      <c r="I636" s="49"/>
      <c r="J636" s="41"/>
      <c r="K636" s="15"/>
      <c r="L636" s="15"/>
      <c r="M636" s="15"/>
      <c r="N636" s="15"/>
      <c r="P636" s="15"/>
    </row>
    <row r="637" spans="1:16" ht="12.75">
      <c r="A637" s="49"/>
      <c r="B637" s="49"/>
      <c r="C637" s="49"/>
      <c r="D637" s="39"/>
      <c r="E637" s="40"/>
      <c r="H637" s="49"/>
      <c r="I637" s="49"/>
      <c r="J637" s="41"/>
      <c r="K637" s="15"/>
      <c r="L637" s="15"/>
      <c r="M637" s="15"/>
      <c r="N637" s="15"/>
      <c r="P637" s="15"/>
    </row>
    <row r="638" spans="1:16" ht="12.75">
      <c r="A638" s="49"/>
      <c r="B638" s="49"/>
      <c r="C638" s="49"/>
      <c r="D638" s="39"/>
      <c r="E638" s="40"/>
      <c r="H638" s="49"/>
      <c r="I638" s="49"/>
      <c r="J638" s="41"/>
      <c r="K638" s="15"/>
      <c r="L638" s="15"/>
      <c r="M638" s="15"/>
      <c r="N638" s="15"/>
      <c r="P638" s="15"/>
    </row>
    <row r="639" spans="1:16" ht="12.75">
      <c r="A639" s="49"/>
      <c r="B639" s="49"/>
      <c r="C639" s="49"/>
      <c r="D639" s="39"/>
      <c r="E639" s="40"/>
      <c r="H639" s="49"/>
      <c r="I639" s="49"/>
      <c r="J639" s="41"/>
      <c r="K639" s="15"/>
      <c r="L639" s="15"/>
      <c r="M639" s="15"/>
      <c r="N639" s="15"/>
      <c r="P639" s="15"/>
    </row>
    <row r="640" spans="1:16" ht="12.75">
      <c r="A640" s="49"/>
      <c r="B640" s="49"/>
      <c r="C640" s="49"/>
      <c r="D640" s="39"/>
      <c r="E640" s="40"/>
      <c r="H640" s="49"/>
      <c r="I640" s="49"/>
      <c r="J640" s="41"/>
      <c r="K640" s="15"/>
      <c r="L640" s="15"/>
      <c r="M640" s="15"/>
      <c r="N640" s="15"/>
      <c r="P640" s="15"/>
    </row>
    <row r="641" spans="1:16" ht="12.75">
      <c r="A641" s="49"/>
      <c r="B641" s="49"/>
      <c r="C641" s="49"/>
      <c r="D641" s="39"/>
      <c r="E641" s="40"/>
      <c r="H641" s="49"/>
      <c r="I641" s="49"/>
      <c r="J641" s="41"/>
      <c r="K641" s="15"/>
      <c r="L641" s="15"/>
      <c r="M641" s="15"/>
      <c r="N641" s="15"/>
      <c r="P641" s="15"/>
    </row>
    <row r="642" spans="1:16" ht="12.75">
      <c r="A642" s="49"/>
      <c r="B642" s="49"/>
      <c r="C642" s="49"/>
      <c r="D642" s="39"/>
      <c r="E642" s="40"/>
      <c r="H642" s="49"/>
      <c r="I642" s="49"/>
      <c r="J642" s="41"/>
      <c r="K642" s="15"/>
      <c r="L642" s="15"/>
      <c r="M642" s="15"/>
      <c r="N642" s="15"/>
      <c r="P642" s="15"/>
    </row>
    <row r="643" spans="1:16" ht="12.75">
      <c r="A643" s="49"/>
      <c r="B643" s="49"/>
      <c r="C643" s="49"/>
      <c r="D643" s="39"/>
      <c r="E643" s="40"/>
      <c r="H643" s="49"/>
      <c r="I643" s="49"/>
      <c r="J643" s="41"/>
      <c r="K643" s="15"/>
      <c r="L643" s="15"/>
      <c r="M643" s="15"/>
      <c r="N643" s="15"/>
      <c r="P643" s="15"/>
    </row>
    <row r="644" spans="1:16" ht="12.75">
      <c r="A644" s="49"/>
      <c r="B644" s="49"/>
      <c r="C644" s="49"/>
      <c r="D644" s="39"/>
      <c r="E644" s="40"/>
      <c r="H644" s="49"/>
      <c r="I644" s="49"/>
      <c r="J644" s="41"/>
      <c r="K644" s="15"/>
      <c r="L644" s="15"/>
      <c r="M644" s="15"/>
      <c r="N644" s="15"/>
      <c r="P644" s="15"/>
    </row>
    <row r="645" spans="1:16" ht="12.75">
      <c r="A645" s="49"/>
      <c r="B645" s="49"/>
      <c r="C645" s="49"/>
      <c r="D645" s="39"/>
      <c r="E645" s="40"/>
      <c r="H645" s="49"/>
      <c r="I645" s="49"/>
      <c r="J645" s="41"/>
      <c r="K645" s="15"/>
      <c r="L645" s="15"/>
      <c r="M645" s="15"/>
      <c r="N645" s="15"/>
      <c r="P645" s="15"/>
    </row>
    <row r="646" spans="1:16" ht="12.75">
      <c r="A646" s="49"/>
      <c r="B646" s="49"/>
      <c r="C646" s="49"/>
      <c r="D646" s="39"/>
      <c r="E646" s="40"/>
      <c r="H646" s="49"/>
      <c r="I646" s="49"/>
      <c r="J646" s="41"/>
      <c r="K646" s="15"/>
      <c r="L646" s="15"/>
      <c r="M646" s="15"/>
      <c r="N646" s="15"/>
      <c r="P646" s="15"/>
    </row>
    <row r="647" spans="1:16" ht="12.75">
      <c r="A647" s="49"/>
      <c r="B647" s="49"/>
      <c r="C647" s="49"/>
      <c r="D647" s="39"/>
      <c r="E647" s="40"/>
      <c r="H647" s="49"/>
      <c r="I647" s="49"/>
      <c r="J647" s="41"/>
      <c r="K647" s="15"/>
      <c r="L647" s="15"/>
      <c r="M647" s="15"/>
      <c r="N647" s="15"/>
      <c r="P647" s="15"/>
    </row>
    <row r="648" spans="1:16" ht="12.75">
      <c r="A648" s="49"/>
      <c r="B648" s="49"/>
      <c r="C648" s="49"/>
      <c r="D648" s="39"/>
      <c r="E648" s="40"/>
      <c r="H648" s="49"/>
      <c r="I648" s="49"/>
      <c r="J648" s="41"/>
      <c r="K648" s="15"/>
      <c r="L648" s="15"/>
      <c r="M648" s="15"/>
      <c r="N648" s="15"/>
      <c r="P648" s="15"/>
    </row>
    <row r="649" spans="1:16" ht="12.75">
      <c r="A649" s="49"/>
      <c r="B649" s="49"/>
      <c r="C649" s="49"/>
      <c r="D649" s="39"/>
      <c r="E649" s="40"/>
      <c r="H649" s="49"/>
      <c r="I649" s="49"/>
      <c r="J649" s="41"/>
      <c r="K649" s="15"/>
      <c r="L649" s="15"/>
      <c r="M649" s="15"/>
      <c r="N649" s="15"/>
      <c r="P649" s="15"/>
    </row>
    <row r="650" spans="1:16" ht="12.75">
      <c r="A650" s="49"/>
      <c r="B650" s="49"/>
      <c r="C650" s="49"/>
      <c r="D650" s="39"/>
      <c r="E650" s="40"/>
      <c r="H650" s="49"/>
      <c r="I650" s="49"/>
      <c r="J650" s="41"/>
      <c r="K650" s="15"/>
      <c r="L650" s="15"/>
      <c r="M650" s="15"/>
      <c r="N650" s="15"/>
      <c r="P650" s="15"/>
    </row>
    <row r="651" spans="1:16" ht="12.75">
      <c r="A651" s="49"/>
      <c r="B651" s="49"/>
      <c r="C651" s="49"/>
      <c r="D651" s="39"/>
      <c r="E651" s="40"/>
      <c r="H651" s="49"/>
      <c r="I651" s="49"/>
      <c r="J651" s="41"/>
      <c r="K651" s="15"/>
      <c r="L651" s="15"/>
      <c r="M651" s="15"/>
      <c r="N651" s="15"/>
      <c r="P651" s="15"/>
    </row>
    <row r="652" spans="1:16" ht="12.75">
      <c r="A652" s="49"/>
      <c r="B652" s="49"/>
      <c r="C652" s="49"/>
      <c r="D652" s="39"/>
      <c r="E652" s="40"/>
      <c r="H652" s="49"/>
      <c r="I652" s="49"/>
      <c r="J652" s="41"/>
      <c r="K652" s="15"/>
      <c r="L652" s="15"/>
      <c r="M652" s="15"/>
      <c r="N652" s="15"/>
      <c r="P652" s="15"/>
    </row>
    <row r="653" spans="1:16" ht="12.75">
      <c r="A653" s="49"/>
      <c r="B653" s="49"/>
      <c r="C653" s="49"/>
      <c r="D653" s="39"/>
      <c r="E653" s="40"/>
      <c r="H653" s="49"/>
      <c r="I653" s="49"/>
      <c r="J653" s="41"/>
      <c r="K653" s="15"/>
      <c r="L653" s="15"/>
      <c r="M653" s="15"/>
      <c r="N653" s="15"/>
      <c r="P653" s="15"/>
    </row>
    <row r="654" spans="1:16" ht="12.75">
      <c r="A654" s="49"/>
      <c r="B654" s="49"/>
      <c r="C654" s="49"/>
      <c r="D654" s="39"/>
      <c r="E654" s="40"/>
      <c r="H654" s="49"/>
      <c r="I654" s="49"/>
      <c r="J654" s="41"/>
      <c r="K654" s="15"/>
      <c r="L654" s="15"/>
      <c r="M654" s="15"/>
      <c r="N654" s="15"/>
      <c r="P654" s="15"/>
    </row>
    <row r="655" spans="1:16" ht="12.75">
      <c r="A655" s="49"/>
      <c r="B655" s="49"/>
      <c r="C655" s="49"/>
      <c r="D655" s="39"/>
      <c r="E655" s="40"/>
      <c r="H655" s="49"/>
      <c r="I655" s="49"/>
      <c r="J655" s="41"/>
      <c r="K655" s="15"/>
      <c r="L655" s="15"/>
      <c r="M655" s="15"/>
      <c r="N655" s="15"/>
      <c r="P655" s="15"/>
    </row>
    <row r="656" spans="1:16" ht="12.75">
      <c r="A656" s="49"/>
      <c r="B656" s="49"/>
      <c r="C656" s="49"/>
      <c r="D656" s="39"/>
      <c r="E656" s="40"/>
      <c r="H656" s="49"/>
      <c r="I656" s="49"/>
      <c r="J656" s="41"/>
      <c r="K656" s="15"/>
      <c r="L656" s="15"/>
      <c r="M656" s="15"/>
      <c r="N656" s="15"/>
      <c r="P656" s="15"/>
    </row>
    <row r="657" spans="1:16" ht="12.75">
      <c r="A657" s="49"/>
      <c r="B657" s="49"/>
      <c r="C657" s="49"/>
      <c r="D657" s="39"/>
      <c r="E657" s="40"/>
      <c r="H657" s="49"/>
      <c r="I657" s="49"/>
      <c r="J657" s="41"/>
      <c r="K657" s="15"/>
      <c r="L657" s="15"/>
      <c r="M657" s="15"/>
      <c r="N657" s="15"/>
      <c r="P657" s="15"/>
    </row>
    <row r="658" spans="1:16" ht="12.75">
      <c r="A658" s="49"/>
      <c r="B658" s="49"/>
      <c r="C658" s="49"/>
      <c r="D658" s="39"/>
      <c r="E658" s="40"/>
      <c r="H658" s="49"/>
      <c r="I658" s="49"/>
      <c r="J658" s="41"/>
      <c r="K658" s="15"/>
      <c r="L658" s="15"/>
      <c r="M658" s="15"/>
      <c r="N658" s="15"/>
      <c r="P658" s="15"/>
    </row>
    <row r="659" spans="1:16" ht="12.75">
      <c r="A659" s="49"/>
      <c r="B659" s="49"/>
      <c r="C659" s="49"/>
      <c r="D659" s="39"/>
      <c r="E659" s="40"/>
      <c r="H659" s="49"/>
      <c r="I659" s="49"/>
      <c r="J659" s="41"/>
      <c r="K659" s="15"/>
      <c r="L659" s="15"/>
      <c r="M659" s="15"/>
      <c r="N659" s="15"/>
      <c r="P659" s="15"/>
    </row>
    <row r="660" spans="1:16" ht="12.75">
      <c r="A660" s="49"/>
      <c r="B660" s="49"/>
      <c r="C660" s="49"/>
      <c r="D660" s="39"/>
      <c r="E660" s="40"/>
      <c r="H660" s="49"/>
      <c r="I660" s="49"/>
      <c r="J660" s="41"/>
      <c r="K660" s="15"/>
      <c r="L660" s="15"/>
      <c r="M660" s="15"/>
      <c r="N660" s="15"/>
      <c r="P660" s="15"/>
    </row>
    <row r="661" spans="1:16" ht="12.75">
      <c r="A661" s="49"/>
      <c r="B661" s="49"/>
      <c r="C661" s="49"/>
      <c r="D661" s="39"/>
      <c r="E661" s="40"/>
      <c r="H661" s="49"/>
      <c r="I661" s="49"/>
      <c r="J661" s="41"/>
      <c r="K661" s="15"/>
      <c r="L661" s="15"/>
      <c r="M661" s="15"/>
      <c r="N661" s="15"/>
      <c r="P661" s="15"/>
    </row>
    <row r="662" spans="1:16" ht="12.75">
      <c r="A662" s="49"/>
      <c r="B662" s="49"/>
      <c r="C662" s="49"/>
      <c r="D662" s="39"/>
      <c r="E662" s="40"/>
      <c r="H662" s="49"/>
      <c r="I662" s="49"/>
      <c r="J662" s="41"/>
      <c r="K662" s="15"/>
      <c r="L662" s="15"/>
      <c r="M662" s="15"/>
      <c r="N662" s="15"/>
      <c r="P662" s="15"/>
    </row>
    <row r="663" spans="1:16" ht="12.75">
      <c r="A663" s="49"/>
      <c r="B663" s="49"/>
      <c r="C663" s="49"/>
      <c r="D663" s="39"/>
      <c r="E663" s="40"/>
      <c r="H663" s="49"/>
      <c r="I663" s="49"/>
      <c r="J663" s="41"/>
      <c r="K663" s="15"/>
      <c r="L663" s="15"/>
      <c r="M663" s="15"/>
      <c r="N663" s="15"/>
      <c r="P663" s="15"/>
    </row>
    <row r="664" spans="1:16" ht="12.75">
      <c r="A664" s="49"/>
      <c r="B664" s="49"/>
      <c r="C664" s="49"/>
      <c r="D664" s="39"/>
      <c r="E664" s="40"/>
      <c r="H664" s="49"/>
      <c r="I664" s="49"/>
      <c r="J664" s="41"/>
      <c r="K664" s="15"/>
      <c r="L664" s="15"/>
      <c r="M664" s="15"/>
      <c r="N664" s="15"/>
      <c r="P664" s="15"/>
    </row>
    <row r="665" spans="1:16" ht="12.75">
      <c r="A665" s="49"/>
      <c r="B665" s="49"/>
      <c r="C665" s="49"/>
      <c r="D665" s="39"/>
      <c r="E665" s="40"/>
      <c r="H665" s="49"/>
      <c r="I665" s="49"/>
      <c r="J665" s="41"/>
      <c r="K665" s="15"/>
      <c r="L665" s="15"/>
      <c r="M665" s="15"/>
      <c r="N665" s="15"/>
      <c r="P665" s="15"/>
    </row>
    <row r="666" spans="1:16" ht="12.75">
      <c r="A666" s="49"/>
      <c r="B666" s="49"/>
      <c r="C666" s="49"/>
      <c r="D666" s="39"/>
      <c r="E666" s="40"/>
      <c r="H666" s="49"/>
      <c r="I666" s="49"/>
      <c r="J666" s="41"/>
      <c r="K666" s="15"/>
      <c r="L666" s="15"/>
      <c r="M666" s="15"/>
      <c r="N666" s="15"/>
      <c r="P666" s="15"/>
    </row>
    <row r="667" spans="1:16" ht="12.75">
      <c r="A667" s="49"/>
      <c r="B667" s="49"/>
      <c r="C667" s="49"/>
      <c r="D667" s="39"/>
      <c r="E667" s="40"/>
      <c r="H667" s="49"/>
      <c r="I667" s="49"/>
      <c r="J667" s="41"/>
      <c r="K667" s="15"/>
      <c r="L667" s="15"/>
      <c r="M667" s="15"/>
      <c r="N667" s="15"/>
      <c r="P667" s="15"/>
    </row>
    <row r="668" spans="1:16" ht="12.75">
      <c r="A668" s="49"/>
      <c r="B668" s="49"/>
      <c r="C668" s="49"/>
      <c r="D668" s="39"/>
      <c r="E668" s="40"/>
      <c r="H668" s="49"/>
      <c r="I668" s="49"/>
      <c r="J668" s="41"/>
      <c r="K668" s="15"/>
      <c r="L668" s="15"/>
      <c r="M668" s="15"/>
      <c r="N668" s="15"/>
      <c r="P668" s="15"/>
    </row>
    <row r="669" spans="1:16" ht="12.75">
      <c r="A669" s="49"/>
      <c r="B669" s="49"/>
      <c r="C669" s="49"/>
      <c r="D669" s="39"/>
      <c r="E669" s="40"/>
      <c r="H669" s="49"/>
      <c r="I669" s="49"/>
      <c r="J669" s="41"/>
      <c r="K669" s="15"/>
      <c r="L669" s="15"/>
      <c r="M669" s="15"/>
      <c r="N669" s="15"/>
      <c r="P669" s="15"/>
    </row>
    <row r="670" spans="1:16" ht="12.75">
      <c r="A670" s="49"/>
      <c r="B670" s="49"/>
      <c r="C670" s="49"/>
      <c r="D670" s="39"/>
      <c r="E670" s="40"/>
      <c r="H670" s="49"/>
      <c r="I670" s="49"/>
      <c r="J670" s="41"/>
      <c r="K670" s="15"/>
      <c r="L670" s="15"/>
      <c r="M670" s="15"/>
      <c r="N670" s="15"/>
      <c r="P670" s="15"/>
    </row>
    <row r="671" spans="1:16" ht="12.75">
      <c r="A671" s="49"/>
      <c r="B671" s="49"/>
      <c r="C671" s="49"/>
      <c r="D671" s="39"/>
      <c r="E671" s="40"/>
      <c r="H671" s="49"/>
      <c r="I671" s="49"/>
      <c r="J671" s="41"/>
      <c r="K671" s="15"/>
      <c r="L671" s="15"/>
      <c r="M671" s="15"/>
      <c r="N671" s="15"/>
      <c r="P671" s="15"/>
    </row>
    <row r="672" spans="1:16" ht="12.75">
      <c r="A672" s="49"/>
      <c r="B672" s="49"/>
      <c r="C672" s="49"/>
      <c r="D672" s="39"/>
      <c r="E672" s="40"/>
      <c r="H672" s="49"/>
      <c r="I672" s="49"/>
      <c r="J672" s="41"/>
      <c r="K672" s="15"/>
      <c r="L672" s="15"/>
      <c r="M672" s="15"/>
      <c r="N672" s="15"/>
      <c r="P672" s="15"/>
    </row>
    <row r="673" spans="1:16" ht="12.75">
      <c r="A673" s="49"/>
      <c r="B673" s="49"/>
      <c r="C673" s="49"/>
      <c r="D673" s="39"/>
      <c r="E673" s="40"/>
      <c r="H673" s="49"/>
      <c r="I673" s="49"/>
      <c r="J673" s="41"/>
      <c r="K673" s="15"/>
      <c r="L673" s="15"/>
      <c r="M673" s="15"/>
      <c r="N673" s="15"/>
      <c r="P673" s="15"/>
    </row>
    <row r="674" spans="1:16" ht="12.75">
      <c r="A674" s="49"/>
      <c r="B674" s="49"/>
      <c r="C674" s="49"/>
      <c r="D674" s="39"/>
      <c r="E674" s="40"/>
      <c r="H674" s="49"/>
      <c r="I674" s="49"/>
      <c r="J674" s="41"/>
      <c r="K674" s="15"/>
      <c r="L674" s="15"/>
      <c r="M674" s="15"/>
      <c r="N674" s="15"/>
      <c r="P674" s="15"/>
    </row>
    <row r="675" spans="1:16" ht="12.75">
      <c r="A675" s="49"/>
      <c r="B675" s="49"/>
      <c r="C675" s="49"/>
      <c r="D675" s="39"/>
      <c r="E675" s="40"/>
      <c r="H675" s="49"/>
      <c r="I675" s="49"/>
      <c r="J675" s="41"/>
      <c r="K675" s="15"/>
      <c r="L675" s="15"/>
      <c r="M675" s="15"/>
      <c r="N675" s="15"/>
      <c r="P675" s="15"/>
    </row>
    <row r="676" spans="1:16" ht="12.75">
      <c r="A676" s="49"/>
      <c r="B676" s="49"/>
      <c r="C676" s="49"/>
      <c r="D676" s="39"/>
      <c r="E676" s="40"/>
      <c r="H676" s="49"/>
      <c r="I676" s="49"/>
      <c r="J676" s="41"/>
      <c r="K676" s="15"/>
      <c r="L676" s="15"/>
      <c r="M676" s="15"/>
      <c r="N676" s="15"/>
      <c r="P676" s="15"/>
    </row>
    <row r="677" spans="1:16" ht="12.75">
      <c r="A677" s="49"/>
      <c r="B677" s="49"/>
      <c r="C677" s="49"/>
      <c r="D677" s="39"/>
      <c r="E677" s="40"/>
      <c r="H677" s="49"/>
      <c r="I677" s="49"/>
      <c r="J677" s="41"/>
      <c r="K677" s="15"/>
      <c r="L677" s="15"/>
      <c r="M677" s="15"/>
      <c r="N677" s="15"/>
      <c r="P677" s="15"/>
    </row>
    <row r="678" spans="1:16" ht="12.75">
      <c r="A678" s="49"/>
      <c r="B678" s="49"/>
      <c r="C678" s="49"/>
      <c r="D678" s="39"/>
      <c r="E678" s="40"/>
      <c r="H678" s="49"/>
      <c r="I678" s="49"/>
      <c r="J678" s="41"/>
      <c r="K678" s="15"/>
      <c r="L678" s="15"/>
      <c r="M678" s="15"/>
      <c r="N678" s="15"/>
      <c r="P678" s="15"/>
    </row>
    <row r="679" spans="1:16" ht="12.75">
      <c r="A679" s="49"/>
      <c r="B679" s="49"/>
      <c r="C679" s="49"/>
      <c r="D679" s="39"/>
      <c r="E679" s="40"/>
      <c r="H679" s="49"/>
      <c r="I679" s="49"/>
      <c r="J679" s="41"/>
      <c r="K679" s="15"/>
      <c r="L679" s="15"/>
      <c r="M679" s="15"/>
      <c r="N679" s="15"/>
      <c r="P679" s="15"/>
    </row>
    <row r="680" spans="1:16" ht="12.75">
      <c r="A680" s="49"/>
      <c r="B680" s="49"/>
      <c r="C680" s="49"/>
      <c r="D680" s="39"/>
      <c r="E680" s="40"/>
      <c r="H680" s="49"/>
      <c r="I680" s="49"/>
      <c r="J680" s="41"/>
      <c r="K680" s="15"/>
      <c r="L680" s="15"/>
      <c r="M680" s="15"/>
      <c r="N680" s="15"/>
      <c r="P680" s="15"/>
    </row>
    <row r="681" spans="1:16" ht="12.75">
      <c r="A681" s="49"/>
      <c r="B681" s="49"/>
      <c r="C681" s="49"/>
      <c r="D681" s="39"/>
      <c r="E681" s="40"/>
      <c r="H681" s="49"/>
      <c r="I681" s="49"/>
      <c r="J681" s="41"/>
      <c r="K681" s="15"/>
      <c r="L681" s="15"/>
      <c r="M681" s="15"/>
      <c r="N681" s="15"/>
      <c r="P681" s="15"/>
    </row>
    <row r="682" spans="1:16" ht="12.75">
      <c r="A682" s="49"/>
      <c r="B682" s="49"/>
      <c r="C682" s="49"/>
      <c r="D682" s="39"/>
      <c r="E682" s="40"/>
      <c r="H682" s="49"/>
      <c r="I682" s="49"/>
      <c r="J682" s="41"/>
      <c r="K682" s="15"/>
      <c r="L682" s="15"/>
      <c r="M682" s="15"/>
      <c r="N682" s="15"/>
      <c r="P682" s="15"/>
    </row>
    <row r="683" spans="1:16" ht="12.75">
      <c r="A683" s="49"/>
      <c r="B683" s="49"/>
      <c r="C683" s="49"/>
      <c r="D683" s="39"/>
      <c r="E683" s="40"/>
      <c r="H683" s="49"/>
      <c r="I683" s="49"/>
      <c r="J683" s="41"/>
      <c r="K683" s="15"/>
      <c r="L683" s="15"/>
      <c r="M683" s="15"/>
      <c r="N683" s="15"/>
      <c r="P683" s="15"/>
    </row>
    <row r="684" spans="1:16" ht="12.75">
      <c r="A684" s="49"/>
      <c r="B684" s="49"/>
      <c r="C684" s="49"/>
      <c r="D684" s="39"/>
      <c r="E684" s="40"/>
      <c r="H684" s="49"/>
      <c r="I684" s="49"/>
      <c r="J684" s="41"/>
      <c r="K684" s="15"/>
      <c r="L684" s="15"/>
      <c r="M684" s="15"/>
      <c r="N684" s="15"/>
      <c r="P684" s="15"/>
    </row>
    <row r="685" spans="1:16" ht="12.75">
      <c r="A685" s="49"/>
      <c r="B685" s="49"/>
      <c r="C685" s="49"/>
      <c r="D685" s="39"/>
      <c r="E685" s="40"/>
      <c r="H685" s="49"/>
      <c r="I685" s="49"/>
      <c r="J685" s="41"/>
      <c r="K685" s="15"/>
      <c r="L685" s="15"/>
      <c r="M685" s="15"/>
      <c r="N685" s="15"/>
      <c r="P685" s="15"/>
    </row>
    <row r="686" spans="1:16" ht="12.75">
      <c r="A686" s="49"/>
      <c r="B686" s="49"/>
      <c r="C686" s="49"/>
      <c r="D686" s="39"/>
      <c r="E686" s="40"/>
      <c r="H686" s="49"/>
      <c r="I686" s="49"/>
      <c r="J686" s="41"/>
      <c r="K686" s="15"/>
      <c r="L686" s="15"/>
      <c r="M686" s="15"/>
      <c r="N686" s="15"/>
      <c r="P686" s="15"/>
    </row>
    <row r="687" spans="1:16" ht="12.75">
      <c r="A687" s="49"/>
      <c r="B687" s="49"/>
      <c r="C687" s="49"/>
      <c r="D687" s="39"/>
      <c r="E687" s="40"/>
      <c r="H687" s="49"/>
      <c r="I687" s="49"/>
      <c r="J687" s="41"/>
      <c r="K687" s="15"/>
      <c r="L687" s="15"/>
      <c r="M687" s="15"/>
      <c r="N687" s="15"/>
      <c r="P687" s="15"/>
    </row>
    <row r="688" spans="1:16" ht="12.75">
      <c r="A688" s="49"/>
      <c r="B688" s="49"/>
      <c r="C688" s="49"/>
      <c r="D688" s="39"/>
      <c r="E688" s="40"/>
      <c r="H688" s="49"/>
      <c r="I688" s="49"/>
      <c r="J688" s="41"/>
      <c r="K688" s="15"/>
      <c r="L688" s="15"/>
      <c r="M688" s="15"/>
      <c r="N688" s="15"/>
      <c r="P688" s="15"/>
    </row>
    <row r="689" spans="1:16" ht="12.75">
      <c r="A689" s="49"/>
      <c r="B689" s="49"/>
      <c r="C689" s="49"/>
      <c r="D689" s="39"/>
      <c r="E689" s="40"/>
      <c r="H689" s="49"/>
      <c r="I689" s="49"/>
      <c r="J689" s="41"/>
      <c r="K689" s="15"/>
      <c r="L689" s="15"/>
      <c r="M689" s="15"/>
      <c r="N689" s="15"/>
      <c r="P689" s="15"/>
    </row>
    <row r="690" spans="1:16" ht="12.75">
      <c r="A690" s="49"/>
      <c r="B690" s="49"/>
      <c r="C690" s="49"/>
      <c r="D690" s="39"/>
      <c r="E690" s="40"/>
      <c r="H690" s="49"/>
      <c r="I690" s="49"/>
      <c r="J690" s="41"/>
      <c r="K690" s="15"/>
      <c r="L690" s="15"/>
      <c r="M690" s="15"/>
      <c r="N690" s="15"/>
      <c r="P690" s="15"/>
    </row>
    <row r="691" spans="1:16" ht="12.75">
      <c r="A691" s="49"/>
      <c r="B691" s="49"/>
      <c r="C691" s="49"/>
      <c r="D691" s="39"/>
      <c r="E691" s="40"/>
      <c r="H691" s="49"/>
      <c r="I691" s="49"/>
      <c r="J691" s="41"/>
      <c r="K691" s="15"/>
      <c r="L691" s="15"/>
      <c r="M691" s="15"/>
      <c r="N691" s="15"/>
      <c r="P691" s="15"/>
    </row>
    <row r="692" spans="1:16" ht="12.75">
      <c r="A692" s="49"/>
      <c r="B692" s="49"/>
      <c r="C692" s="49"/>
      <c r="D692" s="39"/>
      <c r="E692" s="40"/>
      <c r="H692" s="49"/>
      <c r="I692" s="49"/>
      <c r="J692" s="41"/>
      <c r="K692" s="15"/>
      <c r="L692" s="15"/>
      <c r="M692" s="15"/>
      <c r="N692" s="15"/>
      <c r="P692" s="15"/>
    </row>
    <row r="693" spans="1:16" ht="12.75">
      <c r="A693" s="49"/>
      <c r="B693" s="49"/>
      <c r="C693" s="49"/>
      <c r="D693" s="39"/>
      <c r="E693" s="40"/>
      <c r="H693" s="49"/>
      <c r="I693" s="49"/>
      <c r="J693" s="41"/>
      <c r="K693" s="15"/>
      <c r="L693" s="15"/>
      <c r="M693" s="15"/>
      <c r="N693" s="15"/>
      <c r="P693" s="15"/>
    </row>
    <row r="694" spans="1:16" ht="12.75">
      <c r="A694" s="49"/>
      <c r="B694" s="49"/>
      <c r="C694" s="49"/>
      <c r="D694" s="39"/>
      <c r="E694" s="40"/>
      <c r="H694" s="49"/>
      <c r="I694" s="49"/>
      <c r="J694" s="41"/>
      <c r="K694" s="15"/>
      <c r="L694" s="15"/>
      <c r="M694" s="15"/>
      <c r="N694" s="15"/>
      <c r="P694" s="15"/>
    </row>
    <row r="695" spans="1:16" ht="12.75">
      <c r="A695" s="49"/>
      <c r="B695" s="49"/>
      <c r="C695" s="49"/>
      <c r="D695" s="39"/>
      <c r="E695" s="40"/>
      <c r="H695" s="49"/>
      <c r="I695" s="49"/>
      <c r="J695" s="41"/>
      <c r="K695" s="15"/>
      <c r="L695" s="15"/>
      <c r="M695" s="15"/>
      <c r="N695" s="15"/>
      <c r="P695" s="15"/>
    </row>
    <row r="696" spans="1:16" ht="12.75">
      <c r="A696" s="49"/>
      <c r="B696" s="49"/>
      <c r="C696" s="49"/>
      <c r="D696" s="39"/>
      <c r="E696" s="40"/>
      <c r="H696" s="49"/>
      <c r="I696" s="49"/>
      <c r="J696" s="41"/>
      <c r="K696" s="15"/>
      <c r="L696" s="15"/>
      <c r="M696" s="15"/>
      <c r="N696" s="15"/>
      <c r="P696" s="15"/>
    </row>
    <row r="697" spans="1:16" ht="12.75">
      <c r="A697" s="49"/>
      <c r="B697" s="49"/>
      <c r="C697" s="49"/>
      <c r="D697" s="39"/>
      <c r="E697" s="40"/>
      <c r="H697" s="49"/>
      <c r="I697" s="49"/>
      <c r="J697" s="41"/>
      <c r="K697" s="15"/>
      <c r="L697" s="15"/>
      <c r="M697" s="15"/>
      <c r="N697" s="15"/>
      <c r="P697" s="15"/>
    </row>
    <row r="698" spans="1:16" ht="12.75">
      <c r="A698" s="49"/>
      <c r="B698" s="49"/>
      <c r="C698" s="49"/>
      <c r="D698" s="39"/>
      <c r="E698" s="40"/>
      <c r="H698" s="49"/>
      <c r="I698" s="49"/>
      <c r="J698" s="41"/>
      <c r="K698" s="15"/>
      <c r="L698" s="15"/>
      <c r="M698" s="15"/>
      <c r="N698" s="15"/>
      <c r="P698" s="15"/>
    </row>
    <row r="699" spans="1:16" ht="12.75">
      <c r="A699" s="49"/>
      <c r="B699" s="49"/>
      <c r="C699" s="49"/>
      <c r="D699" s="39"/>
      <c r="E699" s="40"/>
      <c r="H699" s="49"/>
      <c r="I699" s="49"/>
      <c r="J699" s="41"/>
      <c r="K699" s="15"/>
      <c r="L699" s="15"/>
      <c r="M699" s="15"/>
      <c r="N699" s="15"/>
      <c r="P699" s="15"/>
    </row>
    <row r="700" spans="1:16" ht="12.75">
      <c r="A700" s="49"/>
      <c r="B700" s="49"/>
      <c r="C700" s="49"/>
      <c r="D700" s="39"/>
      <c r="E700" s="40"/>
      <c r="H700" s="49"/>
      <c r="I700" s="49"/>
      <c r="J700" s="41"/>
      <c r="K700" s="15"/>
      <c r="L700" s="15"/>
      <c r="M700" s="15"/>
      <c r="N700" s="15"/>
      <c r="P700" s="15"/>
    </row>
    <row r="701" spans="1:16" ht="12.75">
      <c r="A701" s="49"/>
      <c r="B701" s="49"/>
      <c r="C701" s="49"/>
      <c r="D701" s="39"/>
      <c r="E701" s="40"/>
      <c r="H701" s="49"/>
      <c r="I701" s="49"/>
      <c r="J701" s="41"/>
      <c r="K701" s="15"/>
      <c r="L701" s="15"/>
      <c r="M701" s="15"/>
      <c r="N701" s="15"/>
      <c r="P701" s="15"/>
    </row>
    <row r="702" spans="1:16" ht="12.75">
      <c r="A702" s="49"/>
      <c r="B702" s="49"/>
      <c r="C702" s="49"/>
      <c r="D702" s="39"/>
      <c r="E702" s="40"/>
      <c r="H702" s="49"/>
      <c r="I702" s="49"/>
      <c r="J702" s="41"/>
      <c r="K702" s="15"/>
      <c r="L702" s="15"/>
      <c r="M702" s="15"/>
      <c r="N702" s="15"/>
      <c r="P702" s="15"/>
    </row>
    <row r="703" spans="1:16" ht="12.75">
      <c r="A703" s="49"/>
      <c r="B703" s="49"/>
      <c r="C703" s="49"/>
      <c r="D703" s="39"/>
      <c r="E703" s="40"/>
      <c r="H703" s="49"/>
      <c r="I703" s="49"/>
      <c r="J703" s="41"/>
      <c r="K703" s="15"/>
      <c r="L703" s="15"/>
      <c r="M703" s="15"/>
      <c r="N703" s="15"/>
      <c r="P703" s="15"/>
    </row>
    <row r="704" spans="1:16" ht="12.75">
      <c r="A704" s="49"/>
      <c r="B704" s="49"/>
      <c r="C704" s="49"/>
      <c r="D704" s="39"/>
      <c r="E704" s="40"/>
      <c r="H704" s="49"/>
      <c r="I704" s="49"/>
      <c r="J704" s="41"/>
      <c r="K704" s="15"/>
      <c r="L704" s="15"/>
      <c r="M704" s="15"/>
      <c r="N704" s="15"/>
      <c r="P704" s="15"/>
    </row>
    <row r="705" spans="1:16" ht="12.75">
      <c r="A705" s="49"/>
      <c r="B705" s="49"/>
      <c r="C705" s="49"/>
      <c r="D705" s="39"/>
      <c r="E705" s="40"/>
      <c r="H705" s="49"/>
      <c r="I705" s="49"/>
      <c r="J705" s="41"/>
      <c r="K705" s="15"/>
      <c r="L705" s="15"/>
      <c r="M705" s="15"/>
      <c r="N705" s="15"/>
      <c r="P705" s="15"/>
    </row>
    <row r="706" spans="1:16" ht="12.75">
      <c r="A706" s="49"/>
      <c r="B706" s="49"/>
      <c r="C706" s="49"/>
      <c r="D706" s="39"/>
      <c r="E706" s="40"/>
      <c r="H706" s="49"/>
      <c r="I706" s="49"/>
      <c r="J706" s="41"/>
      <c r="K706" s="15"/>
      <c r="L706" s="15"/>
      <c r="M706" s="15"/>
      <c r="N706" s="15"/>
      <c r="P706" s="15"/>
    </row>
    <row r="707" spans="1:16" ht="12.75">
      <c r="A707" s="49"/>
      <c r="B707" s="49"/>
      <c r="C707" s="49"/>
      <c r="D707" s="39"/>
      <c r="E707" s="40"/>
      <c r="H707" s="49"/>
      <c r="I707" s="49"/>
      <c r="J707" s="41"/>
      <c r="K707" s="15"/>
      <c r="L707" s="15"/>
      <c r="M707" s="15"/>
      <c r="N707" s="15"/>
      <c r="P707" s="15"/>
    </row>
    <row r="708" spans="1:16" ht="12.75">
      <c r="A708" s="49"/>
      <c r="B708" s="49"/>
      <c r="C708" s="49"/>
      <c r="D708" s="39"/>
      <c r="E708" s="40"/>
      <c r="H708" s="49"/>
      <c r="I708" s="49"/>
      <c r="J708" s="41"/>
      <c r="K708" s="15"/>
      <c r="L708" s="15"/>
      <c r="M708" s="15"/>
      <c r="N708" s="15"/>
      <c r="P708" s="15"/>
    </row>
    <row r="709" spans="1:16" ht="12.75">
      <c r="A709" s="49"/>
      <c r="B709" s="49"/>
      <c r="C709" s="49"/>
      <c r="D709" s="39"/>
      <c r="E709" s="40"/>
      <c r="H709" s="49"/>
      <c r="I709" s="49"/>
      <c r="J709" s="41"/>
      <c r="K709" s="15"/>
      <c r="L709" s="15"/>
      <c r="M709" s="15"/>
      <c r="N709" s="15"/>
      <c r="P709" s="15"/>
    </row>
    <row r="710" spans="1:16" ht="12.75">
      <c r="A710" s="49"/>
      <c r="B710" s="49"/>
      <c r="C710" s="49"/>
      <c r="D710" s="39"/>
      <c r="E710" s="40"/>
      <c r="H710" s="49"/>
      <c r="I710" s="49"/>
      <c r="J710" s="41"/>
      <c r="K710" s="15"/>
      <c r="L710" s="15"/>
      <c r="M710" s="15"/>
      <c r="N710" s="15"/>
      <c r="P710" s="15"/>
    </row>
    <row r="711" spans="1:16" ht="12.75">
      <c r="A711" s="49"/>
      <c r="B711" s="49"/>
      <c r="C711" s="49"/>
      <c r="D711" s="39"/>
      <c r="E711" s="40"/>
      <c r="H711" s="49"/>
      <c r="I711" s="49"/>
      <c r="J711" s="41"/>
      <c r="K711" s="15"/>
      <c r="L711" s="15"/>
      <c r="M711" s="15"/>
      <c r="N711" s="15"/>
      <c r="P711" s="15"/>
    </row>
    <row r="712" spans="1:16" ht="12.75">
      <c r="A712" s="49"/>
      <c r="B712" s="49"/>
      <c r="C712" s="49"/>
      <c r="D712" s="39"/>
      <c r="E712" s="40"/>
      <c r="H712" s="49"/>
      <c r="I712" s="49"/>
      <c r="J712" s="41"/>
      <c r="K712" s="15"/>
      <c r="L712" s="15"/>
      <c r="M712" s="15"/>
      <c r="N712" s="15"/>
      <c r="P712" s="15"/>
    </row>
    <row r="713" spans="1:16" ht="12.75">
      <c r="A713" s="49"/>
      <c r="B713" s="49"/>
      <c r="C713" s="49"/>
      <c r="D713" s="39"/>
      <c r="E713" s="40"/>
      <c r="H713" s="49"/>
      <c r="I713" s="49"/>
      <c r="J713" s="41"/>
      <c r="K713" s="15"/>
      <c r="L713" s="15"/>
      <c r="M713" s="15"/>
      <c r="N713" s="15"/>
      <c r="P713" s="15"/>
    </row>
    <row r="714" spans="1:16" ht="12.75">
      <c r="A714" s="49"/>
      <c r="B714" s="49"/>
      <c r="C714" s="49"/>
      <c r="D714" s="39"/>
      <c r="E714" s="40"/>
      <c r="H714" s="49"/>
      <c r="I714" s="49"/>
      <c r="J714" s="41"/>
      <c r="K714" s="15"/>
      <c r="L714" s="15"/>
      <c r="M714" s="15"/>
      <c r="N714" s="15"/>
      <c r="P714" s="15"/>
    </row>
    <row r="715" spans="1:16" ht="12.75">
      <c r="A715" s="49"/>
      <c r="B715" s="49"/>
      <c r="C715" s="49"/>
      <c r="D715" s="39"/>
      <c r="E715" s="40"/>
      <c r="H715" s="49"/>
      <c r="I715" s="49"/>
      <c r="J715" s="41"/>
      <c r="K715" s="15"/>
      <c r="L715" s="15"/>
      <c r="M715" s="15"/>
      <c r="N715" s="15"/>
      <c r="P715" s="15"/>
    </row>
    <row r="716" spans="1:16" ht="12.75">
      <c r="A716" s="49"/>
      <c r="B716" s="49"/>
      <c r="C716" s="49"/>
      <c r="D716" s="39"/>
      <c r="E716" s="40"/>
      <c r="H716" s="49"/>
      <c r="I716" s="49"/>
      <c r="J716" s="41"/>
      <c r="K716" s="15"/>
      <c r="L716" s="15"/>
      <c r="M716" s="15"/>
      <c r="N716" s="15"/>
      <c r="P716" s="15"/>
    </row>
    <row r="717" spans="1:16" ht="12.75">
      <c r="A717" s="49"/>
      <c r="B717" s="49"/>
      <c r="C717" s="49"/>
      <c r="D717" s="39"/>
      <c r="E717" s="40"/>
      <c r="H717" s="49"/>
      <c r="I717" s="49"/>
      <c r="J717" s="41"/>
      <c r="K717" s="15"/>
      <c r="L717" s="15"/>
      <c r="M717" s="15"/>
      <c r="N717" s="15"/>
      <c r="P717" s="15"/>
    </row>
    <row r="718" spans="1:16" ht="12.75">
      <c r="A718" s="49"/>
      <c r="B718" s="49"/>
      <c r="C718" s="49"/>
      <c r="D718" s="39"/>
      <c r="E718" s="40"/>
      <c r="H718" s="49"/>
      <c r="I718" s="49"/>
      <c r="J718" s="41"/>
      <c r="K718" s="15"/>
      <c r="L718" s="15"/>
      <c r="M718" s="15"/>
      <c r="N718" s="15"/>
      <c r="P718" s="15"/>
    </row>
    <row r="719" spans="1:16" ht="12.75">
      <c r="A719" s="49"/>
      <c r="B719" s="49"/>
      <c r="C719" s="49"/>
      <c r="D719" s="39"/>
      <c r="E719" s="40"/>
      <c r="H719" s="49"/>
      <c r="I719" s="49"/>
      <c r="J719" s="41"/>
      <c r="K719" s="15"/>
      <c r="L719" s="15"/>
      <c r="M719" s="15"/>
      <c r="N719" s="15"/>
      <c r="P719" s="15"/>
    </row>
    <row r="720" spans="1:16" ht="12.75">
      <c r="A720" s="49"/>
      <c r="B720" s="49"/>
      <c r="C720" s="49"/>
      <c r="D720" s="39"/>
      <c r="E720" s="40"/>
      <c r="H720" s="49"/>
      <c r="I720" s="49"/>
      <c r="J720" s="41"/>
      <c r="K720" s="15"/>
      <c r="L720" s="15"/>
      <c r="M720" s="15"/>
      <c r="N720" s="15"/>
      <c r="P720" s="15"/>
    </row>
    <row r="721" spans="1:16" ht="12.75">
      <c r="A721" s="49"/>
      <c r="B721" s="49"/>
      <c r="C721" s="49"/>
      <c r="D721" s="39"/>
      <c r="E721" s="40"/>
      <c r="H721" s="49"/>
      <c r="I721" s="49"/>
      <c r="J721" s="41"/>
      <c r="K721" s="15"/>
      <c r="L721" s="15"/>
      <c r="M721" s="15"/>
      <c r="N721" s="15"/>
      <c r="P721" s="15"/>
    </row>
    <row r="722" spans="1:16" ht="12.75">
      <c r="A722" s="49"/>
      <c r="B722" s="49"/>
      <c r="C722" s="49"/>
      <c r="D722" s="39"/>
      <c r="E722" s="40"/>
      <c r="H722" s="49"/>
      <c r="I722" s="49"/>
      <c r="J722" s="41"/>
      <c r="K722" s="15"/>
      <c r="L722" s="15"/>
      <c r="M722" s="15"/>
      <c r="N722" s="15"/>
      <c r="P722" s="15"/>
    </row>
    <row r="723" spans="1:16" ht="12.75">
      <c r="A723" s="49"/>
      <c r="B723" s="49"/>
      <c r="C723" s="49"/>
      <c r="D723" s="39"/>
      <c r="E723" s="40"/>
      <c r="H723" s="49"/>
      <c r="I723" s="49"/>
      <c r="J723" s="41"/>
      <c r="K723" s="15"/>
      <c r="L723" s="15"/>
      <c r="M723" s="15"/>
      <c r="N723" s="15"/>
      <c r="P723" s="15"/>
    </row>
    <row r="724" spans="1:16" ht="12.75">
      <c r="A724" s="49"/>
      <c r="B724" s="49"/>
      <c r="C724" s="49"/>
      <c r="D724" s="39"/>
      <c r="E724" s="40"/>
      <c r="H724" s="49"/>
      <c r="I724" s="49"/>
      <c r="J724" s="41"/>
      <c r="K724" s="15"/>
      <c r="L724" s="15"/>
      <c r="M724" s="15"/>
      <c r="N724" s="15"/>
      <c r="P724" s="15"/>
    </row>
    <row r="725" spans="1:16" ht="12.75">
      <c r="A725" s="49"/>
      <c r="B725" s="49"/>
      <c r="C725" s="49"/>
      <c r="D725" s="39"/>
      <c r="E725" s="40"/>
      <c r="H725" s="49"/>
      <c r="I725" s="49"/>
      <c r="J725" s="41"/>
      <c r="K725" s="15"/>
      <c r="L725" s="15"/>
      <c r="M725" s="15"/>
      <c r="N725" s="15"/>
      <c r="P725" s="15"/>
    </row>
    <row r="726" spans="1:16" ht="12.75">
      <c r="A726" s="49"/>
      <c r="B726" s="49"/>
      <c r="C726" s="49"/>
      <c r="D726" s="39"/>
      <c r="E726" s="40"/>
      <c r="H726" s="49"/>
      <c r="I726" s="49"/>
      <c r="J726" s="41"/>
      <c r="K726" s="15"/>
      <c r="L726" s="15"/>
      <c r="M726" s="15"/>
      <c r="N726" s="15"/>
      <c r="P726" s="15"/>
    </row>
    <row r="727" spans="1:16" ht="12.75">
      <c r="A727" s="49"/>
      <c r="B727" s="49"/>
      <c r="C727" s="49"/>
      <c r="D727" s="39"/>
      <c r="E727" s="40"/>
      <c r="H727" s="49"/>
      <c r="I727" s="49"/>
      <c r="J727" s="41"/>
      <c r="K727" s="15"/>
      <c r="L727" s="15"/>
      <c r="M727" s="15"/>
      <c r="N727" s="15"/>
      <c r="P727" s="15"/>
    </row>
    <row r="728" spans="1:16" ht="12.75">
      <c r="A728" s="49"/>
      <c r="B728" s="49"/>
      <c r="C728" s="49"/>
      <c r="D728" s="39"/>
      <c r="E728" s="40"/>
      <c r="H728" s="49"/>
      <c r="I728" s="49"/>
      <c r="J728" s="41"/>
      <c r="K728" s="15"/>
      <c r="L728" s="15"/>
      <c r="M728" s="15"/>
      <c r="N728" s="15"/>
      <c r="P728" s="15"/>
    </row>
    <row r="729" spans="1:16" ht="12.75">
      <c r="A729" s="49"/>
      <c r="B729" s="49"/>
      <c r="C729" s="49"/>
      <c r="D729" s="39"/>
      <c r="E729" s="40"/>
      <c r="H729" s="49"/>
      <c r="I729" s="49"/>
      <c r="J729" s="41"/>
      <c r="K729" s="15"/>
      <c r="L729" s="15"/>
      <c r="M729" s="15"/>
      <c r="N729" s="15"/>
      <c r="P729" s="15"/>
    </row>
    <row r="730" spans="1:16" ht="12.75">
      <c r="A730" s="49"/>
      <c r="B730" s="49"/>
      <c r="C730" s="49"/>
      <c r="D730" s="39"/>
      <c r="E730" s="40"/>
      <c r="H730" s="49"/>
      <c r="I730" s="49"/>
      <c r="J730" s="41"/>
      <c r="K730" s="15"/>
      <c r="L730" s="15"/>
      <c r="M730" s="15"/>
      <c r="N730" s="15"/>
      <c r="P730" s="15"/>
    </row>
    <row r="731" spans="1:16" ht="12.75">
      <c r="A731" s="49"/>
      <c r="B731" s="49"/>
      <c r="C731" s="49"/>
      <c r="D731" s="39"/>
      <c r="E731" s="40"/>
      <c r="H731" s="49"/>
      <c r="I731" s="49"/>
      <c r="J731" s="41"/>
      <c r="K731" s="15"/>
      <c r="L731" s="15"/>
      <c r="M731" s="15"/>
      <c r="N731" s="15"/>
      <c r="P731" s="15"/>
    </row>
    <row r="732" spans="1:16" ht="12.75">
      <c r="A732" s="49"/>
      <c r="B732" s="49"/>
      <c r="C732" s="49"/>
      <c r="D732" s="39"/>
      <c r="E732" s="40"/>
      <c r="H732" s="49"/>
      <c r="I732" s="49"/>
      <c r="J732" s="41"/>
      <c r="K732" s="15"/>
      <c r="L732" s="15"/>
      <c r="M732" s="15"/>
      <c r="N732" s="15"/>
      <c r="P732" s="15"/>
    </row>
    <row r="733" spans="1:16" ht="12.75">
      <c r="A733" s="49"/>
      <c r="B733" s="49"/>
      <c r="C733" s="49"/>
      <c r="D733" s="39"/>
      <c r="E733" s="40"/>
      <c r="H733" s="49"/>
      <c r="I733" s="49"/>
      <c r="J733" s="41"/>
      <c r="K733" s="15"/>
      <c r="L733" s="15"/>
      <c r="M733" s="15"/>
      <c r="N733" s="15"/>
      <c r="P733" s="15"/>
    </row>
    <row r="734" spans="1:16" ht="12.75">
      <c r="A734" s="49"/>
      <c r="B734" s="49"/>
      <c r="C734" s="49"/>
      <c r="D734" s="39"/>
      <c r="E734" s="40"/>
      <c r="H734" s="49"/>
      <c r="I734" s="49"/>
      <c r="J734" s="41"/>
      <c r="K734" s="15"/>
      <c r="L734" s="15"/>
      <c r="M734" s="15"/>
      <c r="N734" s="15"/>
      <c r="P734" s="15"/>
    </row>
    <row r="735" spans="1:16" ht="12.75">
      <c r="A735" s="49"/>
      <c r="B735" s="49"/>
      <c r="C735" s="49"/>
      <c r="D735" s="39"/>
      <c r="E735" s="40"/>
      <c r="H735" s="49"/>
      <c r="I735" s="49"/>
      <c r="J735" s="41"/>
      <c r="K735" s="15"/>
      <c r="L735" s="15"/>
      <c r="M735" s="15"/>
      <c r="N735" s="15"/>
      <c r="P735" s="15"/>
    </row>
    <row r="736" spans="1:16" ht="12.75">
      <c r="A736" s="49"/>
      <c r="B736" s="49"/>
      <c r="C736" s="49"/>
      <c r="D736" s="39"/>
      <c r="E736" s="40"/>
      <c r="H736" s="49"/>
      <c r="I736" s="49"/>
      <c r="J736" s="41"/>
      <c r="K736" s="15"/>
      <c r="L736" s="15"/>
      <c r="M736" s="15"/>
      <c r="N736" s="15"/>
      <c r="P736" s="15"/>
    </row>
    <row r="737" spans="1:16" ht="12.75">
      <c r="A737" s="49"/>
      <c r="B737" s="49"/>
      <c r="C737" s="49"/>
      <c r="D737" s="39"/>
      <c r="E737" s="40"/>
      <c r="H737" s="49"/>
      <c r="I737" s="49"/>
      <c r="J737" s="41"/>
      <c r="K737" s="15"/>
      <c r="L737" s="15"/>
      <c r="M737" s="15"/>
      <c r="N737" s="15"/>
      <c r="P737" s="15"/>
    </row>
    <row r="738" spans="1:16" ht="12.75">
      <c r="A738" s="49"/>
      <c r="B738" s="49"/>
      <c r="C738" s="49"/>
      <c r="D738" s="39"/>
      <c r="E738" s="40"/>
      <c r="H738" s="49"/>
      <c r="I738" s="49"/>
      <c r="J738" s="41"/>
      <c r="K738" s="15"/>
      <c r="L738" s="15"/>
      <c r="M738" s="15"/>
      <c r="N738" s="15"/>
      <c r="P738" s="15"/>
    </row>
    <row r="739" spans="1:16" ht="12.75">
      <c r="A739" s="49"/>
      <c r="B739" s="49"/>
      <c r="C739" s="49"/>
      <c r="D739" s="39"/>
      <c r="E739" s="40"/>
      <c r="H739" s="49"/>
      <c r="I739" s="49"/>
      <c r="J739" s="41"/>
      <c r="K739" s="15"/>
      <c r="L739" s="15"/>
      <c r="M739" s="15"/>
      <c r="N739" s="15"/>
      <c r="P739" s="15"/>
    </row>
    <row r="740" spans="1:16" ht="12.75">
      <c r="A740" s="49"/>
      <c r="B740" s="49"/>
      <c r="C740" s="49"/>
      <c r="D740" s="39"/>
      <c r="E740" s="40"/>
      <c r="H740" s="49"/>
      <c r="I740" s="49"/>
      <c r="J740" s="41"/>
      <c r="K740" s="15"/>
      <c r="L740" s="15"/>
      <c r="M740" s="15"/>
      <c r="N740" s="15"/>
      <c r="P740" s="15"/>
    </row>
    <row r="741" spans="1:16" ht="12.75">
      <c r="A741" s="49"/>
      <c r="B741" s="49"/>
      <c r="C741" s="49"/>
      <c r="D741" s="39"/>
      <c r="E741" s="40"/>
      <c r="H741" s="49"/>
      <c r="I741" s="49"/>
      <c r="J741" s="41"/>
      <c r="K741" s="15"/>
      <c r="L741" s="15"/>
      <c r="M741" s="15"/>
      <c r="N741" s="15"/>
      <c r="P741" s="15"/>
    </row>
    <row r="742" spans="1:16" ht="12.75">
      <c r="A742" s="49"/>
      <c r="B742" s="49"/>
      <c r="C742" s="49"/>
      <c r="D742" s="39"/>
      <c r="E742" s="40"/>
      <c r="H742" s="49"/>
      <c r="I742" s="49"/>
      <c r="J742" s="41"/>
      <c r="K742" s="15"/>
      <c r="L742" s="15"/>
      <c r="M742" s="15"/>
      <c r="N742" s="15"/>
      <c r="P742" s="15"/>
    </row>
    <row r="743" spans="1:16" ht="12.75">
      <c r="A743" s="49"/>
      <c r="B743" s="49"/>
      <c r="C743" s="49"/>
      <c r="D743" s="39"/>
      <c r="E743" s="40"/>
      <c r="H743" s="49"/>
      <c r="I743" s="49"/>
      <c r="J743" s="41"/>
      <c r="K743" s="15"/>
      <c r="L743" s="15"/>
      <c r="M743" s="15"/>
      <c r="N743" s="15"/>
      <c r="P743" s="15"/>
    </row>
    <row r="744" spans="1:16" ht="12.75">
      <c r="A744" s="49"/>
      <c r="B744" s="49"/>
      <c r="C744" s="49"/>
      <c r="D744" s="39"/>
      <c r="E744" s="40"/>
      <c r="H744" s="49"/>
      <c r="I744" s="49"/>
      <c r="J744" s="41"/>
      <c r="K744" s="15"/>
      <c r="L744" s="15"/>
      <c r="M744" s="15"/>
      <c r="N744" s="15"/>
      <c r="P744" s="15"/>
    </row>
    <row r="745" spans="1:16" ht="12.75">
      <c r="A745" s="49"/>
      <c r="B745" s="49"/>
      <c r="C745" s="49"/>
      <c r="D745" s="39"/>
      <c r="E745" s="40"/>
      <c r="H745" s="49"/>
      <c r="I745" s="49"/>
      <c r="J745" s="41"/>
      <c r="K745" s="15"/>
      <c r="L745" s="15"/>
      <c r="M745" s="15"/>
      <c r="N745" s="15"/>
      <c r="P745" s="15"/>
    </row>
    <row r="746" spans="1:16" ht="12.75">
      <c r="A746" s="49"/>
      <c r="B746" s="49"/>
      <c r="C746" s="49"/>
      <c r="D746" s="39"/>
      <c r="E746" s="40"/>
      <c r="H746" s="49"/>
      <c r="I746" s="49"/>
      <c r="J746" s="41"/>
      <c r="K746" s="15"/>
      <c r="L746" s="15"/>
      <c r="M746" s="15"/>
      <c r="N746" s="15"/>
      <c r="P746" s="15"/>
    </row>
    <row r="747" spans="1:16" ht="12.75">
      <c r="A747" s="49"/>
      <c r="B747" s="49"/>
      <c r="C747" s="49"/>
      <c r="D747" s="39"/>
      <c r="E747" s="40"/>
      <c r="H747" s="49"/>
      <c r="I747" s="49"/>
      <c r="J747" s="41"/>
      <c r="K747" s="15"/>
      <c r="L747" s="15"/>
      <c r="M747" s="15"/>
      <c r="N747" s="15"/>
      <c r="P747" s="15"/>
    </row>
    <row r="748" spans="1:16" ht="12.75">
      <c r="A748" s="49"/>
      <c r="B748" s="49"/>
      <c r="C748" s="49"/>
      <c r="D748" s="39"/>
      <c r="E748" s="40"/>
      <c r="H748" s="49"/>
      <c r="I748" s="49"/>
      <c r="J748" s="41"/>
      <c r="K748" s="15"/>
      <c r="L748" s="15"/>
      <c r="M748" s="15"/>
      <c r="N748" s="15"/>
      <c r="P748" s="15"/>
    </row>
    <row r="749" spans="1:16" ht="12.75">
      <c r="A749" s="49"/>
      <c r="B749" s="49"/>
      <c r="C749" s="49"/>
      <c r="D749" s="39"/>
      <c r="E749" s="40"/>
      <c r="H749" s="49"/>
      <c r="I749" s="49"/>
      <c r="J749" s="41"/>
      <c r="K749" s="15"/>
      <c r="L749" s="15"/>
      <c r="M749" s="15"/>
      <c r="N749" s="15"/>
      <c r="P749" s="15"/>
    </row>
    <row r="750" spans="1:16" ht="12.75">
      <c r="A750" s="49"/>
      <c r="B750" s="49"/>
      <c r="C750" s="49"/>
      <c r="D750" s="39"/>
      <c r="E750" s="40"/>
      <c r="H750" s="49"/>
      <c r="I750" s="49"/>
      <c r="J750" s="41"/>
      <c r="K750" s="15"/>
      <c r="L750" s="15"/>
      <c r="M750" s="15"/>
      <c r="N750" s="15"/>
      <c r="P750" s="15"/>
    </row>
    <row r="751" spans="1:16" ht="12.75">
      <c r="A751" s="49"/>
      <c r="B751" s="49"/>
      <c r="C751" s="49"/>
      <c r="D751" s="39"/>
      <c r="E751" s="40"/>
      <c r="H751" s="49"/>
      <c r="I751" s="49"/>
      <c r="J751" s="41"/>
      <c r="K751" s="15"/>
      <c r="L751" s="15"/>
      <c r="M751" s="15"/>
      <c r="N751" s="15"/>
      <c r="P751" s="15"/>
    </row>
    <row r="752" spans="1:16" ht="12.75">
      <c r="A752" s="49"/>
      <c r="B752" s="49"/>
      <c r="C752" s="49"/>
      <c r="D752" s="39"/>
      <c r="E752" s="40"/>
      <c r="H752" s="49"/>
      <c r="I752" s="49"/>
      <c r="J752" s="41"/>
      <c r="K752" s="15"/>
      <c r="L752" s="15"/>
      <c r="M752" s="15"/>
      <c r="N752" s="15"/>
      <c r="P752" s="15"/>
    </row>
    <row r="753" spans="1:16" ht="12.75">
      <c r="A753" s="49"/>
      <c r="B753" s="49"/>
      <c r="C753" s="49"/>
      <c r="D753" s="39"/>
      <c r="E753" s="40"/>
      <c r="H753" s="49"/>
      <c r="I753" s="49"/>
      <c r="J753" s="41"/>
      <c r="K753" s="15"/>
      <c r="L753" s="15"/>
      <c r="M753" s="15"/>
      <c r="N753" s="15"/>
      <c r="P753" s="15"/>
    </row>
    <row r="754" spans="1:16" ht="12.75">
      <c r="A754" s="49"/>
      <c r="B754" s="49"/>
      <c r="C754" s="49"/>
      <c r="D754" s="39"/>
      <c r="E754" s="40"/>
      <c r="H754" s="49"/>
      <c r="I754" s="49"/>
      <c r="J754" s="41"/>
      <c r="K754" s="15"/>
      <c r="L754" s="15"/>
      <c r="M754" s="15"/>
      <c r="N754" s="15"/>
      <c r="P754" s="15"/>
    </row>
    <row r="755" spans="1:16" ht="12.75">
      <c r="A755" s="49"/>
      <c r="B755" s="49"/>
      <c r="C755" s="49"/>
      <c r="D755" s="39"/>
      <c r="E755" s="40"/>
      <c r="H755" s="49"/>
      <c r="I755" s="49"/>
      <c r="J755" s="41"/>
      <c r="K755" s="15"/>
      <c r="L755" s="15"/>
      <c r="M755" s="15"/>
      <c r="N755" s="15"/>
      <c r="P755" s="15"/>
    </row>
    <row r="756" spans="1:16" ht="12.75">
      <c r="A756" s="49"/>
      <c r="B756" s="49"/>
      <c r="C756" s="49"/>
      <c r="D756" s="39"/>
      <c r="E756" s="40"/>
      <c r="H756" s="49"/>
      <c r="I756" s="49"/>
      <c r="J756" s="41"/>
      <c r="K756" s="15"/>
      <c r="L756" s="15"/>
      <c r="M756" s="15"/>
      <c r="N756" s="15"/>
      <c r="P756" s="15"/>
    </row>
    <row r="757" spans="1:16" ht="12.75">
      <c r="A757" s="49"/>
      <c r="B757" s="49"/>
      <c r="C757" s="49"/>
      <c r="D757" s="39"/>
      <c r="E757" s="40"/>
      <c r="H757" s="49"/>
      <c r="I757" s="49"/>
      <c r="J757" s="41"/>
      <c r="K757" s="15"/>
      <c r="L757" s="15"/>
      <c r="M757" s="15"/>
      <c r="N757" s="15"/>
      <c r="P757" s="15"/>
    </row>
    <row r="758" spans="1:16" ht="12.75">
      <c r="A758" s="49"/>
      <c r="B758" s="49"/>
      <c r="C758" s="49"/>
      <c r="D758" s="39"/>
      <c r="E758" s="40"/>
      <c r="H758" s="49"/>
      <c r="I758" s="49"/>
      <c r="J758" s="41"/>
      <c r="K758" s="15"/>
      <c r="L758" s="15"/>
      <c r="M758" s="15"/>
      <c r="N758" s="15"/>
      <c r="P758" s="15"/>
    </row>
    <row r="759" spans="1:16" ht="12.75">
      <c r="A759" s="49"/>
      <c r="B759" s="49"/>
      <c r="C759" s="49"/>
      <c r="D759" s="39"/>
      <c r="E759" s="40"/>
      <c r="H759" s="49"/>
      <c r="I759" s="49"/>
      <c r="J759" s="41"/>
      <c r="K759" s="15"/>
      <c r="L759" s="15"/>
      <c r="M759" s="15"/>
      <c r="N759" s="15"/>
      <c r="P759" s="15"/>
    </row>
    <row r="760" spans="1:16" ht="12.75">
      <c r="A760" s="49"/>
      <c r="B760" s="49"/>
      <c r="C760" s="49"/>
      <c r="D760" s="39"/>
      <c r="E760" s="40"/>
      <c r="H760" s="49"/>
      <c r="I760" s="49"/>
      <c r="J760" s="41"/>
      <c r="K760" s="15"/>
      <c r="L760" s="15"/>
      <c r="M760" s="15"/>
      <c r="N760" s="15"/>
      <c r="P760" s="15"/>
    </row>
    <row r="761" spans="1:16" ht="12.75">
      <c r="A761" s="49"/>
      <c r="B761" s="49"/>
      <c r="C761" s="49"/>
      <c r="D761" s="39"/>
      <c r="E761" s="40"/>
      <c r="H761" s="49"/>
      <c r="I761" s="49"/>
      <c r="J761" s="41"/>
      <c r="K761" s="15"/>
      <c r="L761" s="15"/>
      <c r="M761" s="15"/>
      <c r="N761" s="15"/>
      <c r="P761" s="15"/>
    </row>
    <row r="762" spans="1:16" ht="12.75">
      <c r="A762" s="49"/>
      <c r="B762" s="49"/>
      <c r="C762" s="49"/>
      <c r="D762" s="39"/>
      <c r="E762" s="40"/>
      <c r="H762" s="49"/>
      <c r="I762" s="49"/>
      <c r="J762" s="41"/>
      <c r="K762" s="15"/>
      <c r="L762" s="15"/>
      <c r="M762" s="15"/>
      <c r="N762" s="15"/>
      <c r="P762" s="15"/>
    </row>
    <row r="763" spans="1:16" ht="12.75">
      <c r="A763" s="49"/>
      <c r="B763" s="49"/>
      <c r="C763" s="49"/>
      <c r="D763" s="39"/>
      <c r="E763" s="40"/>
      <c r="H763" s="49"/>
      <c r="I763" s="49"/>
      <c r="J763" s="41"/>
      <c r="K763" s="15"/>
      <c r="L763" s="15"/>
      <c r="M763" s="15"/>
      <c r="N763" s="15"/>
      <c r="P763" s="15"/>
    </row>
    <row r="764" spans="1:16" ht="12.75">
      <c r="A764" s="49"/>
      <c r="B764" s="49"/>
      <c r="C764" s="49"/>
      <c r="D764" s="39"/>
      <c r="E764" s="40"/>
      <c r="H764" s="49"/>
      <c r="I764" s="49"/>
      <c r="J764" s="41"/>
      <c r="K764" s="15"/>
      <c r="L764" s="15"/>
      <c r="M764" s="15"/>
      <c r="N764" s="15"/>
      <c r="P764" s="15"/>
    </row>
    <row r="765" spans="1:16" ht="12.75">
      <c r="A765" s="49"/>
      <c r="B765" s="49"/>
      <c r="C765" s="49"/>
      <c r="D765" s="39"/>
      <c r="E765" s="40"/>
      <c r="H765" s="49"/>
      <c r="I765" s="49"/>
      <c r="J765" s="41"/>
      <c r="K765" s="15"/>
      <c r="L765" s="15"/>
      <c r="M765" s="15"/>
      <c r="N765" s="15"/>
      <c r="P765" s="15"/>
    </row>
    <row r="766" spans="1:16" ht="12.75">
      <c r="A766" s="49"/>
      <c r="B766" s="49"/>
      <c r="C766" s="49"/>
      <c r="D766" s="39"/>
      <c r="E766" s="40"/>
      <c r="H766" s="49"/>
      <c r="I766" s="49"/>
      <c r="J766" s="41"/>
      <c r="K766" s="15"/>
      <c r="L766" s="15"/>
      <c r="M766" s="15"/>
      <c r="N766" s="15"/>
      <c r="P766" s="15"/>
    </row>
    <row r="767" spans="1:16" ht="12.75">
      <c r="A767" s="49"/>
      <c r="B767" s="49"/>
      <c r="C767" s="49"/>
      <c r="D767" s="39"/>
      <c r="E767" s="40"/>
      <c r="H767" s="49"/>
      <c r="I767" s="49"/>
      <c r="J767" s="41"/>
      <c r="K767" s="15"/>
      <c r="L767" s="15"/>
      <c r="M767" s="15"/>
      <c r="N767" s="15"/>
      <c r="P767" s="15"/>
    </row>
    <row r="768" spans="1:16" ht="12.75">
      <c r="A768" s="49"/>
      <c r="B768" s="49"/>
      <c r="C768" s="49"/>
      <c r="D768" s="39"/>
      <c r="E768" s="40"/>
      <c r="H768" s="49"/>
      <c r="I768" s="49"/>
      <c r="J768" s="41"/>
      <c r="K768" s="15"/>
      <c r="L768" s="15"/>
      <c r="M768" s="15"/>
      <c r="N768" s="15"/>
      <c r="P768" s="15"/>
    </row>
    <row r="769" spans="1:16" ht="12.75">
      <c r="A769" s="49"/>
      <c r="B769" s="49"/>
      <c r="C769" s="49"/>
      <c r="D769" s="39"/>
      <c r="E769" s="40"/>
      <c r="H769" s="49"/>
      <c r="I769" s="49"/>
      <c r="J769" s="41"/>
      <c r="K769" s="15"/>
      <c r="L769" s="15"/>
      <c r="M769" s="15"/>
      <c r="N769" s="15"/>
      <c r="P769" s="15"/>
    </row>
    <row r="770" spans="1:16" ht="12.75">
      <c r="A770" s="49"/>
      <c r="B770" s="49"/>
      <c r="C770" s="49"/>
      <c r="D770" s="39"/>
      <c r="E770" s="40"/>
      <c r="H770" s="49"/>
      <c r="I770" s="49"/>
      <c r="J770" s="41"/>
      <c r="K770" s="15"/>
      <c r="L770" s="15"/>
      <c r="M770" s="15"/>
      <c r="N770" s="15"/>
      <c r="P770" s="15"/>
    </row>
    <row r="771" spans="1:16" ht="12.75">
      <c r="A771" s="49"/>
      <c r="B771" s="49"/>
      <c r="C771" s="49"/>
      <c r="D771" s="39"/>
      <c r="E771" s="40"/>
      <c r="H771" s="49"/>
      <c r="I771" s="49"/>
      <c r="J771" s="41"/>
      <c r="K771" s="15"/>
      <c r="L771" s="15"/>
      <c r="M771" s="15"/>
      <c r="N771" s="15"/>
      <c r="P771" s="15"/>
    </row>
    <row r="772" spans="1:16" ht="12.75">
      <c r="A772" s="49"/>
      <c r="B772" s="49"/>
      <c r="C772" s="49"/>
      <c r="D772" s="39"/>
      <c r="E772" s="40"/>
      <c r="H772" s="49"/>
      <c r="I772" s="49"/>
      <c r="J772" s="41"/>
      <c r="K772" s="15"/>
      <c r="L772" s="15"/>
      <c r="M772" s="15"/>
      <c r="N772" s="15"/>
      <c r="P772" s="15"/>
    </row>
    <row r="773" spans="1:16" ht="12.75">
      <c r="A773" s="49"/>
      <c r="B773" s="49"/>
      <c r="C773" s="49"/>
      <c r="D773" s="39"/>
      <c r="E773" s="40"/>
      <c r="H773" s="49"/>
      <c r="I773" s="49"/>
      <c r="J773" s="41"/>
      <c r="K773" s="15"/>
      <c r="L773" s="15"/>
      <c r="M773" s="15"/>
      <c r="N773" s="15"/>
      <c r="P773" s="15"/>
    </row>
    <row r="774" spans="1:16" ht="12.75">
      <c r="A774" s="49"/>
      <c r="B774" s="49"/>
      <c r="C774" s="49"/>
      <c r="D774" s="39"/>
      <c r="E774" s="40"/>
      <c r="H774" s="49"/>
      <c r="I774" s="49"/>
      <c r="J774" s="41"/>
      <c r="K774" s="15"/>
      <c r="L774" s="15"/>
      <c r="M774" s="15"/>
      <c r="N774" s="15"/>
      <c r="P774" s="15"/>
    </row>
    <row r="775" spans="1:16" ht="12.75">
      <c r="A775" s="49"/>
      <c r="B775" s="49"/>
      <c r="C775" s="49"/>
      <c r="D775" s="39"/>
      <c r="E775" s="40"/>
      <c r="H775" s="49"/>
      <c r="I775" s="49"/>
      <c r="J775" s="41"/>
      <c r="K775" s="15"/>
      <c r="L775" s="15"/>
      <c r="M775" s="15"/>
      <c r="N775" s="15"/>
      <c r="P775" s="15"/>
    </row>
    <row r="776" spans="1:16" ht="12.75">
      <c r="A776" s="49"/>
      <c r="B776" s="49"/>
      <c r="C776" s="49"/>
      <c r="D776" s="39"/>
      <c r="E776" s="40"/>
      <c r="H776" s="49"/>
      <c r="I776" s="49"/>
      <c r="J776" s="41"/>
      <c r="K776" s="15"/>
      <c r="L776" s="15"/>
      <c r="M776" s="15"/>
      <c r="N776" s="15"/>
      <c r="P776" s="15"/>
    </row>
    <row r="777" spans="1:16" ht="12.75">
      <c r="A777" s="49"/>
      <c r="B777" s="49"/>
      <c r="C777" s="49"/>
      <c r="D777" s="39"/>
      <c r="E777" s="40"/>
      <c r="H777" s="49"/>
      <c r="I777" s="49"/>
      <c r="J777" s="41"/>
      <c r="K777" s="15"/>
      <c r="L777" s="15"/>
      <c r="M777" s="15"/>
      <c r="N777" s="15"/>
      <c r="P777" s="15"/>
    </row>
    <row r="778" spans="1:16" ht="12.75">
      <c r="A778" s="49"/>
      <c r="B778" s="49"/>
      <c r="C778" s="49"/>
      <c r="D778" s="39"/>
      <c r="E778" s="40"/>
      <c r="H778" s="49"/>
      <c r="I778" s="49"/>
      <c r="J778" s="41"/>
      <c r="K778" s="15"/>
      <c r="L778" s="15"/>
      <c r="M778" s="15"/>
      <c r="N778" s="15"/>
      <c r="P778" s="15"/>
    </row>
    <row r="779" spans="1:16" ht="12.75">
      <c r="A779" s="49"/>
      <c r="B779" s="49"/>
      <c r="C779" s="49"/>
      <c r="D779" s="39"/>
      <c r="E779" s="40"/>
      <c r="H779" s="49"/>
      <c r="I779" s="49"/>
      <c r="J779" s="41"/>
      <c r="K779" s="15"/>
      <c r="L779" s="15"/>
      <c r="M779" s="15"/>
      <c r="N779" s="15"/>
      <c r="P779" s="15"/>
    </row>
    <row r="780" spans="1:16" ht="12.75">
      <c r="A780" s="49"/>
      <c r="B780" s="49"/>
      <c r="C780" s="49"/>
      <c r="D780" s="39"/>
      <c r="E780" s="40"/>
      <c r="H780" s="49"/>
      <c r="I780" s="49"/>
      <c r="J780" s="41"/>
      <c r="K780" s="15"/>
      <c r="L780" s="15"/>
      <c r="M780" s="15"/>
      <c r="N780" s="15"/>
      <c r="P780" s="15"/>
    </row>
    <row r="781" spans="1:16" ht="12.75">
      <c r="A781" s="49"/>
      <c r="B781" s="49"/>
      <c r="C781" s="49"/>
      <c r="D781" s="39"/>
      <c r="E781" s="40"/>
      <c r="H781" s="49"/>
      <c r="I781" s="49"/>
      <c r="J781" s="41"/>
      <c r="K781" s="15"/>
      <c r="L781" s="15"/>
      <c r="M781" s="15"/>
      <c r="N781" s="15"/>
      <c r="P781" s="15"/>
    </row>
    <row r="782" spans="1:16" ht="12.75">
      <c r="A782" s="49"/>
      <c r="B782" s="49"/>
      <c r="C782" s="49"/>
      <c r="D782" s="39"/>
      <c r="E782" s="40"/>
      <c r="H782" s="49"/>
      <c r="I782" s="49"/>
      <c r="J782" s="41"/>
      <c r="K782" s="15"/>
      <c r="L782" s="15"/>
      <c r="M782" s="15"/>
      <c r="N782" s="15"/>
      <c r="P782" s="15"/>
    </row>
    <row r="783" spans="1:16" ht="12.75">
      <c r="A783" s="49"/>
      <c r="B783" s="49"/>
      <c r="C783" s="49"/>
      <c r="D783" s="39"/>
      <c r="E783" s="40"/>
      <c r="H783" s="49"/>
      <c r="I783" s="49"/>
      <c r="J783" s="41"/>
      <c r="K783" s="15"/>
      <c r="L783" s="15"/>
      <c r="M783" s="15"/>
      <c r="N783" s="15"/>
      <c r="P783" s="15"/>
    </row>
    <row r="784" spans="1:16" ht="12.75">
      <c r="A784" s="49"/>
      <c r="B784" s="49"/>
      <c r="C784" s="49"/>
      <c r="D784" s="39"/>
      <c r="E784" s="40"/>
      <c r="H784" s="49"/>
      <c r="I784" s="49"/>
      <c r="J784" s="41"/>
      <c r="K784" s="15"/>
      <c r="L784" s="15"/>
      <c r="M784" s="15"/>
      <c r="N784" s="15"/>
      <c r="P784" s="15"/>
    </row>
    <row r="785" spans="1:16" ht="12.75">
      <c r="A785" s="49"/>
      <c r="B785" s="49"/>
      <c r="C785" s="49"/>
      <c r="D785" s="39"/>
      <c r="E785" s="40"/>
      <c r="H785" s="49"/>
      <c r="I785" s="49"/>
      <c r="J785" s="41"/>
      <c r="K785" s="15"/>
      <c r="L785" s="15"/>
      <c r="M785" s="15"/>
      <c r="N785" s="15"/>
      <c r="P785" s="15"/>
    </row>
    <row r="786" spans="1:16" ht="12.75">
      <c r="A786" s="49"/>
      <c r="B786" s="49"/>
      <c r="C786" s="49"/>
      <c r="D786" s="39"/>
      <c r="E786" s="40"/>
      <c r="H786" s="49"/>
      <c r="I786" s="49"/>
      <c r="J786" s="41"/>
      <c r="K786" s="15"/>
      <c r="L786" s="15"/>
      <c r="M786" s="15"/>
      <c r="N786" s="15"/>
      <c r="P786" s="15"/>
    </row>
    <row r="787" spans="1:16" ht="12.75">
      <c r="A787" s="49"/>
      <c r="B787" s="49"/>
      <c r="C787" s="49"/>
      <c r="D787" s="39"/>
      <c r="E787" s="40"/>
      <c r="H787" s="49"/>
      <c r="I787" s="49"/>
      <c r="J787" s="41"/>
      <c r="K787" s="15"/>
      <c r="L787" s="15"/>
      <c r="M787" s="15"/>
      <c r="N787" s="15"/>
      <c r="P787" s="15"/>
    </row>
    <row r="788" spans="1:16" ht="12.75">
      <c r="A788" s="49"/>
      <c r="B788" s="49"/>
      <c r="C788" s="49"/>
      <c r="D788" s="39"/>
      <c r="E788" s="40"/>
      <c r="H788" s="49"/>
      <c r="I788" s="49"/>
      <c r="J788" s="41"/>
      <c r="K788" s="15"/>
      <c r="L788" s="15"/>
      <c r="M788" s="15"/>
      <c r="N788" s="15"/>
      <c r="P788" s="15"/>
    </row>
    <row r="789" spans="1:16" ht="12.75">
      <c r="A789" s="49"/>
      <c r="B789" s="49"/>
      <c r="C789" s="49"/>
      <c r="D789" s="39"/>
      <c r="E789" s="40"/>
      <c r="H789" s="49"/>
      <c r="I789" s="49"/>
      <c r="J789" s="41"/>
      <c r="K789" s="15"/>
      <c r="L789" s="15"/>
      <c r="M789" s="15"/>
      <c r="N789" s="15"/>
      <c r="P789" s="15"/>
    </row>
    <row r="790" spans="1:16" ht="12.75">
      <c r="A790" s="49"/>
      <c r="B790" s="49"/>
      <c r="C790" s="49"/>
      <c r="D790" s="39"/>
      <c r="E790" s="40"/>
      <c r="H790" s="49"/>
      <c r="I790" s="49"/>
      <c r="J790" s="41"/>
      <c r="K790" s="15"/>
      <c r="L790" s="15"/>
      <c r="M790" s="15"/>
      <c r="N790" s="15"/>
      <c r="P790" s="15"/>
    </row>
    <row r="791" spans="1:16" ht="12.75">
      <c r="A791" s="49"/>
      <c r="B791" s="49"/>
      <c r="C791" s="49"/>
      <c r="D791" s="39"/>
      <c r="E791" s="40"/>
      <c r="H791" s="49"/>
      <c r="I791" s="49"/>
      <c r="J791" s="41"/>
      <c r="K791" s="15"/>
      <c r="L791" s="15"/>
      <c r="M791" s="15"/>
      <c r="N791" s="15"/>
      <c r="P791" s="15"/>
    </row>
    <row r="792" spans="1:16" ht="12.75">
      <c r="A792" s="49"/>
      <c r="B792" s="49"/>
      <c r="C792" s="49"/>
      <c r="D792" s="39"/>
      <c r="E792" s="40"/>
      <c r="H792" s="49"/>
      <c r="I792" s="49"/>
      <c r="J792" s="41"/>
      <c r="K792" s="15"/>
      <c r="L792" s="15"/>
      <c r="M792" s="15"/>
      <c r="N792" s="15"/>
      <c r="P792" s="15"/>
    </row>
    <row r="793" spans="1:16" ht="12.75">
      <c r="A793" s="49"/>
      <c r="B793" s="49"/>
      <c r="C793" s="49"/>
      <c r="D793" s="39"/>
      <c r="E793" s="40"/>
      <c r="H793" s="49"/>
      <c r="I793" s="49"/>
      <c r="J793" s="41"/>
      <c r="K793" s="15"/>
      <c r="L793" s="15"/>
      <c r="M793" s="15"/>
      <c r="N793" s="15"/>
      <c r="P793" s="15"/>
    </row>
    <row r="794" spans="1:16" ht="12.75">
      <c r="A794" s="49"/>
      <c r="B794" s="49"/>
      <c r="C794" s="49"/>
      <c r="D794" s="39"/>
      <c r="E794" s="40"/>
      <c r="H794" s="49"/>
      <c r="I794" s="49"/>
      <c r="J794" s="41"/>
      <c r="K794" s="15"/>
      <c r="L794" s="15"/>
      <c r="M794" s="15"/>
      <c r="N794" s="15"/>
      <c r="P794" s="15"/>
    </row>
    <row r="795" spans="1:16" ht="12.75">
      <c r="A795" s="49"/>
      <c r="B795" s="49"/>
      <c r="C795" s="49"/>
      <c r="D795" s="39"/>
      <c r="E795" s="40"/>
      <c r="H795" s="49"/>
      <c r="I795" s="49"/>
      <c r="J795" s="41"/>
      <c r="K795" s="15"/>
      <c r="L795" s="15"/>
      <c r="M795" s="15"/>
      <c r="N795" s="15"/>
      <c r="P795" s="15"/>
    </row>
    <row r="796" spans="1:16" ht="12.75">
      <c r="A796" s="49"/>
      <c r="B796" s="49"/>
      <c r="C796" s="49"/>
      <c r="D796" s="39"/>
      <c r="E796" s="40"/>
      <c r="H796" s="49"/>
      <c r="I796" s="49"/>
      <c r="J796" s="41"/>
      <c r="K796" s="15"/>
      <c r="L796" s="15"/>
      <c r="M796" s="15"/>
      <c r="N796" s="15"/>
      <c r="P796" s="15"/>
    </row>
    <row r="797" spans="1:16" ht="12.75">
      <c r="A797" s="49"/>
      <c r="B797" s="49"/>
      <c r="C797" s="49"/>
      <c r="D797" s="39"/>
      <c r="E797" s="40"/>
      <c r="H797" s="49"/>
      <c r="I797" s="49"/>
      <c r="J797" s="41"/>
      <c r="K797" s="15"/>
      <c r="L797" s="15"/>
      <c r="M797" s="15"/>
      <c r="N797" s="15"/>
      <c r="P797" s="15"/>
    </row>
    <row r="798" spans="1:16" ht="12.75">
      <c r="A798" s="49"/>
      <c r="B798" s="49"/>
      <c r="C798" s="49"/>
      <c r="D798" s="39"/>
      <c r="E798" s="40"/>
      <c r="H798" s="49"/>
      <c r="I798" s="49"/>
      <c r="J798" s="41"/>
      <c r="K798" s="15"/>
      <c r="L798" s="15"/>
      <c r="M798" s="15"/>
      <c r="N798" s="15"/>
      <c r="P798" s="15"/>
    </row>
    <row r="799" spans="1:16" ht="12.75">
      <c r="A799" s="49"/>
      <c r="B799" s="49"/>
      <c r="C799" s="49"/>
      <c r="D799" s="39"/>
      <c r="E799" s="40"/>
      <c r="H799" s="49"/>
      <c r="I799" s="49"/>
      <c r="J799" s="41"/>
      <c r="K799" s="15"/>
      <c r="L799" s="15"/>
      <c r="M799" s="15"/>
      <c r="N799" s="15"/>
      <c r="P799" s="15"/>
    </row>
    <row r="800" spans="1:16" ht="12.75">
      <c r="A800" s="49"/>
      <c r="B800" s="49"/>
      <c r="C800" s="49"/>
      <c r="D800" s="39"/>
      <c r="E800" s="40"/>
      <c r="H800" s="49"/>
      <c r="I800" s="49"/>
      <c r="J800" s="41"/>
      <c r="K800" s="15"/>
      <c r="L800" s="15"/>
      <c r="M800" s="15"/>
      <c r="N800" s="15"/>
      <c r="P800" s="15"/>
    </row>
    <row r="801" spans="1:16" ht="12.75">
      <c r="A801" s="49"/>
      <c r="B801" s="49"/>
      <c r="C801" s="49"/>
      <c r="D801" s="39"/>
      <c r="E801" s="40"/>
      <c r="H801" s="49"/>
      <c r="I801" s="49"/>
      <c r="J801" s="41"/>
      <c r="K801" s="15"/>
      <c r="L801" s="15"/>
      <c r="M801" s="15"/>
      <c r="N801" s="15"/>
      <c r="P801" s="15"/>
    </row>
    <row r="802" spans="1:16" ht="12.75">
      <c r="A802" s="49"/>
      <c r="B802" s="49"/>
      <c r="C802" s="49"/>
      <c r="D802" s="39"/>
      <c r="E802" s="40"/>
      <c r="H802" s="49"/>
      <c r="I802" s="49"/>
      <c r="J802" s="41"/>
      <c r="K802" s="15"/>
      <c r="L802" s="15"/>
      <c r="M802" s="15"/>
      <c r="N802" s="15"/>
      <c r="P802" s="15"/>
    </row>
    <row r="803" spans="1:16" ht="12.75">
      <c r="A803" s="49"/>
      <c r="B803" s="49"/>
      <c r="C803" s="49"/>
      <c r="D803" s="39"/>
      <c r="E803" s="40"/>
      <c r="H803" s="49"/>
      <c r="I803" s="49"/>
      <c r="J803" s="41"/>
      <c r="K803" s="15"/>
      <c r="L803" s="15"/>
      <c r="M803" s="15"/>
      <c r="N803" s="15"/>
      <c r="P803" s="15"/>
    </row>
    <row r="804" spans="1:16" ht="12.75">
      <c r="A804" s="49"/>
      <c r="B804" s="49"/>
      <c r="C804" s="49"/>
      <c r="D804" s="39"/>
      <c r="E804" s="40"/>
      <c r="H804" s="49"/>
      <c r="I804" s="49"/>
      <c r="J804" s="41"/>
      <c r="K804" s="15"/>
      <c r="L804" s="15"/>
      <c r="M804" s="15"/>
      <c r="N804" s="15"/>
      <c r="P804" s="15"/>
    </row>
    <row r="805" spans="1:16" ht="12.75">
      <c r="A805" s="49"/>
      <c r="B805" s="49"/>
      <c r="C805" s="49"/>
      <c r="D805" s="39"/>
      <c r="E805" s="40"/>
      <c r="H805" s="49"/>
      <c r="I805" s="49"/>
      <c r="J805" s="41"/>
      <c r="K805" s="15"/>
      <c r="L805" s="15"/>
      <c r="M805" s="15"/>
      <c r="N805" s="15"/>
      <c r="P805" s="15"/>
    </row>
    <row r="806" spans="1:16" ht="12.75">
      <c r="A806" s="49"/>
      <c r="B806" s="49"/>
      <c r="C806" s="49"/>
      <c r="D806" s="39"/>
      <c r="E806" s="40"/>
      <c r="H806" s="49"/>
      <c r="I806" s="49"/>
      <c r="J806" s="41"/>
      <c r="K806" s="15"/>
      <c r="L806" s="15"/>
      <c r="M806" s="15"/>
      <c r="N806" s="15"/>
      <c r="P806" s="15"/>
    </row>
    <row r="807" spans="1:16" ht="12.75">
      <c r="A807" s="49"/>
      <c r="B807" s="49"/>
      <c r="C807" s="49"/>
      <c r="D807" s="39"/>
      <c r="E807" s="40"/>
      <c r="H807" s="49"/>
      <c r="I807" s="49"/>
      <c r="J807" s="41"/>
      <c r="K807" s="15"/>
      <c r="L807" s="15"/>
      <c r="M807" s="15"/>
      <c r="N807" s="15"/>
      <c r="P807" s="15"/>
    </row>
    <row r="808" spans="1:16" ht="12.75">
      <c r="A808" s="49"/>
      <c r="B808" s="49"/>
      <c r="C808" s="49"/>
      <c r="D808" s="39"/>
      <c r="E808" s="40"/>
      <c r="H808" s="49"/>
      <c r="I808" s="49"/>
      <c r="J808" s="41"/>
      <c r="K808" s="15"/>
      <c r="L808" s="15"/>
      <c r="M808" s="15"/>
      <c r="N808" s="15"/>
      <c r="P808" s="15"/>
    </row>
    <row r="809" spans="1:16" ht="12.75">
      <c r="A809" s="49"/>
      <c r="B809" s="49"/>
      <c r="C809" s="49"/>
      <c r="D809" s="39"/>
      <c r="E809" s="40"/>
      <c r="H809" s="49"/>
      <c r="I809" s="49"/>
      <c r="J809" s="41"/>
      <c r="K809" s="15"/>
      <c r="L809" s="15"/>
      <c r="M809" s="15"/>
      <c r="N809" s="15"/>
      <c r="P809" s="15"/>
    </row>
    <row r="810" spans="1:16" ht="12.75">
      <c r="A810" s="49"/>
      <c r="B810" s="49"/>
      <c r="C810" s="49"/>
      <c r="D810" s="39"/>
      <c r="E810" s="40"/>
      <c r="H810" s="49"/>
      <c r="I810" s="49"/>
      <c r="J810" s="41"/>
      <c r="K810" s="15"/>
      <c r="L810" s="15"/>
      <c r="M810" s="15"/>
      <c r="N810" s="15"/>
      <c r="P810" s="15"/>
    </row>
    <row r="811" spans="1:16" ht="12.75">
      <c r="A811" s="49"/>
      <c r="B811" s="49"/>
      <c r="C811" s="49"/>
      <c r="D811" s="39"/>
      <c r="E811" s="40"/>
      <c r="H811" s="49"/>
      <c r="I811" s="49"/>
      <c r="J811" s="41"/>
      <c r="K811" s="15"/>
      <c r="L811" s="15"/>
      <c r="M811" s="15"/>
      <c r="N811" s="15"/>
      <c r="P811" s="15"/>
    </row>
    <row r="812" spans="1:16" ht="12.75">
      <c r="A812" s="49"/>
      <c r="B812" s="49"/>
      <c r="C812" s="49"/>
      <c r="D812" s="39"/>
      <c r="E812" s="40"/>
      <c r="H812" s="49"/>
      <c r="I812" s="49"/>
      <c r="J812" s="41"/>
      <c r="K812" s="15"/>
      <c r="L812" s="15"/>
      <c r="M812" s="15"/>
      <c r="N812" s="15"/>
      <c r="P812" s="15"/>
    </row>
    <row r="813" spans="1:16" ht="12.75">
      <c r="A813" s="49"/>
      <c r="B813" s="49"/>
      <c r="C813" s="49"/>
      <c r="D813" s="39"/>
      <c r="E813" s="40"/>
      <c r="H813" s="49"/>
      <c r="I813" s="49"/>
      <c r="J813" s="41"/>
      <c r="K813" s="15"/>
      <c r="L813" s="15"/>
      <c r="M813" s="15"/>
      <c r="N813" s="15"/>
      <c r="P813" s="15"/>
    </row>
    <row r="814" spans="1:16" ht="12.75">
      <c r="A814" s="49"/>
      <c r="B814" s="49"/>
      <c r="C814" s="49"/>
      <c r="D814" s="39"/>
      <c r="E814" s="40"/>
      <c r="H814" s="49"/>
      <c r="I814" s="49"/>
      <c r="J814" s="41"/>
      <c r="K814" s="15"/>
      <c r="L814" s="15"/>
      <c r="M814" s="15"/>
      <c r="N814" s="15"/>
      <c r="P814" s="15"/>
    </row>
    <row r="815" spans="1:16" ht="12.75">
      <c r="A815" s="49"/>
      <c r="B815" s="49"/>
      <c r="C815" s="49"/>
      <c r="D815" s="39"/>
      <c r="E815" s="40"/>
      <c r="H815" s="49"/>
      <c r="I815" s="49"/>
      <c r="J815" s="41"/>
      <c r="K815" s="15"/>
      <c r="L815" s="15"/>
      <c r="M815" s="15"/>
      <c r="N815" s="15"/>
      <c r="P815" s="15"/>
    </row>
    <row r="816" spans="1:16" ht="12.75">
      <c r="A816" s="49"/>
      <c r="B816" s="49"/>
      <c r="C816" s="49"/>
      <c r="D816" s="39"/>
      <c r="E816" s="40"/>
      <c r="H816" s="49"/>
      <c r="I816" s="49"/>
      <c r="J816" s="41"/>
      <c r="K816" s="15"/>
      <c r="L816" s="15"/>
      <c r="M816" s="15"/>
      <c r="N816" s="15"/>
      <c r="P816" s="15"/>
    </row>
    <row r="817" spans="1:16" ht="12.75">
      <c r="A817" s="49"/>
      <c r="B817" s="49"/>
      <c r="C817" s="49"/>
      <c r="D817" s="39"/>
      <c r="E817" s="40"/>
      <c r="H817" s="49"/>
      <c r="I817" s="49"/>
      <c r="J817" s="41"/>
      <c r="K817" s="15"/>
      <c r="L817" s="15"/>
      <c r="M817" s="15"/>
      <c r="N817" s="15"/>
      <c r="P817" s="15"/>
    </row>
    <row r="818" spans="1:16" ht="12.75">
      <c r="A818" s="49"/>
      <c r="B818" s="49"/>
      <c r="C818" s="49"/>
      <c r="D818" s="39"/>
      <c r="E818" s="40"/>
      <c r="H818" s="49"/>
      <c r="I818" s="49"/>
      <c r="J818" s="41"/>
      <c r="K818" s="15"/>
      <c r="L818" s="15"/>
      <c r="M818" s="15"/>
      <c r="N818" s="15"/>
      <c r="P818" s="15"/>
    </row>
    <row r="819" spans="1:16" ht="12.75">
      <c r="A819" s="49"/>
      <c r="B819" s="49"/>
      <c r="C819" s="49"/>
      <c r="D819" s="39"/>
      <c r="E819" s="40"/>
      <c r="H819" s="49"/>
      <c r="I819" s="49"/>
      <c r="J819" s="41"/>
      <c r="K819" s="15"/>
      <c r="L819" s="15"/>
      <c r="M819" s="15"/>
      <c r="N819" s="15"/>
      <c r="P819" s="15"/>
    </row>
    <row r="820" spans="1:16" ht="12.75">
      <c r="A820" s="49"/>
      <c r="B820" s="49"/>
      <c r="C820" s="49"/>
      <c r="D820" s="39"/>
      <c r="E820" s="40"/>
      <c r="H820" s="49"/>
      <c r="I820" s="49"/>
      <c r="J820" s="41"/>
      <c r="K820" s="15"/>
      <c r="L820" s="15"/>
      <c r="M820" s="15"/>
      <c r="N820" s="15"/>
      <c r="P820" s="15"/>
    </row>
    <row r="821" spans="1:16" ht="12.75">
      <c r="A821" s="49"/>
      <c r="B821" s="49"/>
      <c r="C821" s="49"/>
      <c r="D821" s="39"/>
      <c r="E821" s="40"/>
      <c r="H821" s="49"/>
      <c r="I821" s="49"/>
      <c r="J821" s="41"/>
      <c r="K821" s="15"/>
      <c r="L821" s="15"/>
      <c r="M821" s="15"/>
      <c r="N821" s="15"/>
      <c r="P821" s="15"/>
    </row>
    <row r="822" spans="1:16" ht="12.75">
      <c r="A822" s="49"/>
      <c r="B822" s="49"/>
      <c r="C822" s="49"/>
      <c r="D822" s="39"/>
      <c r="E822" s="40"/>
      <c r="H822" s="49"/>
      <c r="I822" s="49"/>
      <c r="J822" s="41"/>
      <c r="K822" s="15"/>
      <c r="L822" s="15"/>
      <c r="M822" s="15"/>
      <c r="N822" s="15"/>
      <c r="P822" s="15"/>
    </row>
    <row r="823" spans="1:16" ht="12.75">
      <c r="A823" s="49"/>
      <c r="B823" s="49"/>
      <c r="C823" s="49"/>
      <c r="D823" s="39"/>
      <c r="E823" s="40"/>
      <c r="H823" s="49"/>
      <c r="I823" s="49"/>
      <c r="J823" s="41"/>
      <c r="K823" s="15"/>
      <c r="L823" s="15"/>
      <c r="M823" s="15"/>
      <c r="N823" s="15"/>
      <c r="P823" s="15"/>
    </row>
    <row r="824" spans="1:16" ht="12.75">
      <c r="A824" s="49"/>
      <c r="B824" s="49"/>
      <c r="C824" s="49"/>
      <c r="D824" s="39"/>
      <c r="E824" s="40"/>
      <c r="H824" s="49"/>
      <c r="I824" s="49"/>
      <c r="J824" s="41"/>
      <c r="K824" s="15"/>
      <c r="L824" s="15"/>
      <c r="M824" s="15"/>
      <c r="N824" s="15"/>
      <c r="P824" s="15"/>
    </row>
    <row r="825" spans="1:16" ht="12.75">
      <c r="A825" s="49"/>
      <c r="B825" s="49"/>
      <c r="C825" s="49"/>
      <c r="D825" s="39"/>
      <c r="E825" s="40"/>
      <c r="H825" s="49"/>
      <c r="I825" s="49"/>
      <c r="J825" s="41"/>
      <c r="K825" s="15"/>
      <c r="L825" s="15"/>
      <c r="M825" s="15"/>
      <c r="N825" s="15"/>
      <c r="P825" s="15"/>
    </row>
    <row r="826" spans="1:16" ht="12.75">
      <c r="A826" s="49"/>
      <c r="B826" s="49"/>
      <c r="C826" s="49"/>
      <c r="D826" s="39"/>
      <c r="E826" s="40"/>
      <c r="H826" s="49"/>
      <c r="I826" s="49"/>
      <c r="J826" s="41"/>
      <c r="K826" s="15"/>
      <c r="L826" s="15"/>
      <c r="M826" s="15"/>
      <c r="N826" s="15"/>
      <c r="P826" s="15"/>
    </row>
    <row r="827" spans="1:16" ht="12.75">
      <c r="A827" s="49"/>
      <c r="B827" s="49"/>
      <c r="C827" s="49"/>
      <c r="D827" s="39"/>
      <c r="E827" s="40"/>
      <c r="H827" s="49"/>
      <c r="I827" s="49"/>
      <c r="J827" s="41"/>
      <c r="K827" s="15"/>
      <c r="L827" s="15"/>
      <c r="M827" s="15"/>
      <c r="N827" s="15"/>
      <c r="P827" s="15"/>
    </row>
    <row r="828" spans="1:16" ht="12.75">
      <c r="A828" s="49"/>
      <c r="B828" s="49"/>
      <c r="C828" s="49"/>
      <c r="D828" s="39"/>
      <c r="E828" s="40"/>
      <c r="H828" s="49"/>
      <c r="I828" s="49"/>
      <c r="J828" s="41"/>
      <c r="K828" s="15"/>
      <c r="L828" s="15"/>
      <c r="M828" s="15"/>
      <c r="N828" s="15"/>
      <c r="P828" s="15"/>
    </row>
    <row r="829" spans="1:16" ht="12.75">
      <c r="A829" s="49"/>
      <c r="B829" s="49"/>
      <c r="C829" s="49"/>
      <c r="D829" s="39"/>
      <c r="E829" s="40"/>
      <c r="H829" s="49"/>
      <c r="I829" s="49"/>
      <c r="J829" s="41"/>
      <c r="K829" s="15"/>
      <c r="L829" s="15"/>
      <c r="M829" s="15"/>
      <c r="N829" s="15"/>
      <c r="P829" s="15"/>
    </row>
    <row r="830" spans="1:16" ht="12.75">
      <c r="A830" s="49"/>
      <c r="B830" s="49"/>
      <c r="C830" s="49"/>
      <c r="D830" s="39"/>
      <c r="E830" s="40"/>
      <c r="H830" s="49"/>
      <c r="I830" s="49"/>
      <c r="J830" s="41"/>
      <c r="K830" s="15"/>
      <c r="L830" s="15"/>
      <c r="M830" s="15"/>
      <c r="N830" s="15"/>
      <c r="P830" s="15"/>
    </row>
    <row r="831" spans="1:16" ht="12.75">
      <c r="A831" s="49"/>
      <c r="B831" s="49"/>
      <c r="C831" s="49"/>
      <c r="D831" s="39"/>
      <c r="E831" s="40"/>
      <c r="H831" s="49"/>
      <c r="I831" s="49"/>
      <c r="J831" s="41"/>
      <c r="K831" s="15"/>
      <c r="L831" s="15"/>
      <c r="M831" s="15"/>
      <c r="N831" s="15"/>
      <c r="P831" s="15"/>
    </row>
    <row r="832" spans="1:16" ht="12.75">
      <c r="A832" s="49"/>
      <c r="B832" s="49"/>
      <c r="C832" s="49"/>
      <c r="D832" s="39"/>
      <c r="E832" s="40"/>
      <c r="H832" s="49"/>
      <c r="I832" s="49"/>
      <c r="J832" s="41"/>
      <c r="K832" s="15"/>
      <c r="L832" s="15"/>
      <c r="M832" s="15"/>
      <c r="N832" s="15"/>
      <c r="P832" s="15"/>
    </row>
    <row r="833" spans="1:16" ht="12.75">
      <c r="A833" s="49"/>
      <c r="B833" s="49"/>
      <c r="C833" s="49"/>
      <c r="D833" s="39"/>
      <c r="E833" s="40"/>
      <c r="H833" s="49"/>
      <c r="I833" s="49"/>
      <c r="J833" s="41"/>
      <c r="K833" s="15"/>
      <c r="L833" s="15"/>
      <c r="M833" s="15"/>
      <c r="N833" s="15"/>
      <c r="P833" s="15"/>
    </row>
    <row r="834" spans="1:16" ht="12.75">
      <c r="A834" s="49"/>
      <c r="B834" s="49"/>
      <c r="C834" s="49"/>
      <c r="D834" s="39"/>
      <c r="E834" s="40"/>
      <c r="H834" s="49"/>
      <c r="I834" s="49"/>
      <c r="J834" s="41"/>
      <c r="K834" s="15"/>
      <c r="L834" s="15"/>
      <c r="M834" s="15"/>
      <c r="N834" s="15"/>
      <c r="P834" s="15"/>
    </row>
    <row r="835" spans="1:16" ht="12.75">
      <c r="A835" s="49"/>
      <c r="B835" s="49"/>
      <c r="C835" s="49"/>
      <c r="D835" s="39"/>
      <c r="E835" s="40"/>
      <c r="H835" s="49"/>
      <c r="I835" s="49"/>
      <c r="J835" s="41"/>
      <c r="K835" s="15"/>
      <c r="L835" s="15"/>
      <c r="M835" s="15"/>
      <c r="N835" s="15"/>
      <c r="P835" s="15"/>
    </row>
    <row r="836" spans="1:16" ht="12.75">
      <c r="A836" s="49"/>
      <c r="B836" s="49"/>
      <c r="C836" s="49"/>
      <c r="D836" s="39"/>
      <c r="E836" s="40"/>
      <c r="H836" s="49"/>
      <c r="I836" s="49"/>
      <c r="J836" s="41"/>
      <c r="K836" s="15"/>
      <c r="L836" s="15"/>
      <c r="M836" s="15"/>
      <c r="N836" s="15"/>
      <c r="P836" s="15"/>
    </row>
    <row r="837" spans="1:16" ht="12.75">
      <c r="A837" s="49"/>
      <c r="B837" s="49"/>
      <c r="C837" s="49"/>
      <c r="D837" s="39"/>
      <c r="E837" s="40"/>
      <c r="H837" s="49"/>
      <c r="I837" s="49"/>
      <c r="J837" s="41"/>
      <c r="K837" s="15"/>
      <c r="L837" s="15"/>
      <c r="M837" s="15"/>
      <c r="N837" s="15"/>
      <c r="P837" s="15"/>
    </row>
    <row r="838" spans="1:16" ht="12.75">
      <c r="A838" s="49"/>
      <c r="B838" s="49"/>
      <c r="C838" s="49"/>
      <c r="D838" s="39"/>
      <c r="E838" s="40"/>
      <c r="H838" s="49"/>
      <c r="I838" s="49"/>
      <c r="J838" s="41"/>
      <c r="K838" s="15"/>
      <c r="L838" s="15"/>
      <c r="M838" s="15"/>
      <c r="N838" s="15"/>
      <c r="P838" s="15"/>
    </row>
    <row r="839" spans="1:16" ht="12.75">
      <c r="A839" s="49"/>
      <c r="B839" s="49"/>
      <c r="C839" s="49"/>
      <c r="D839" s="39"/>
      <c r="E839" s="40"/>
      <c r="H839" s="49"/>
      <c r="I839" s="49"/>
      <c r="J839" s="41"/>
      <c r="K839" s="15"/>
      <c r="L839" s="15"/>
      <c r="M839" s="15"/>
      <c r="N839" s="15"/>
      <c r="P839" s="15"/>
    </row>
    <row r="840" spans="1:16" ht="12.75">
      <c r="A840" s="49"/>
      <c r="B840" s="49"/>
      <c r="C840" s="49"/>
      <c r="D840" s="39"/>
      <c r="E840" s="40"/>
      <c r="H840" s="49"/>
      <c r="I840" s="49"/>
      <c r="J840" s="41"/>
      <c r="K840" s="15"/>
      <c r="L840" s="15"/>
      <c r="M840" s="15"/>
      <c r="N840" s="15"/>
      <c r="P840" s="15"/>
    </row>
    <row r="841" spans="1:16" ht="12.75">
      <c r="A841" s="49"/>
      <c r="B841" s="49"/>
      <c r="C841" s="49"/>
      <c r="D841" s="39"/>
      <c r="E841" s="40"/>
      <c r="H841" s="49"/>
      <c r="I841" s="49"/>
      <c r="J841" s="41"/>
      <c r="K841" s="15"/>
      <c r="L841" s="15"/>
      <c r="M841" s="15"/>
      <c r="N841" s="15"/>
      <c r="P841" s="15"/>
    </row>
    <row r="842" spans="1:16" ht="12.75">
      <c r="A842" s="49"/>
      <c r="B842" s="49"/>
      <c r="C842" s="49"/>
      <c r="D842" s="39"/>
      <c r="E842" s="40"/>
      <c r="H842" s="49"/>
      <c r="I842" s="49"/>
      <c r="J842" s="41"/>
      <c r="K842" s="15"/>
      <c r="L842" s="15"/>
      <c r="M842" s="15"/>
      <c r="N842" s="15"/>
      <c r="P842" s="15"/>
    </row>
    <row r="843" spans="1:16" ht="12.75">
      <c r="A843" s="49"/>
      <c r="B843" s="49"/>
      <c r="C843" s="49"/>
      <c r="D843" s="39"/>
      <c r="E843" s="40"/>
      <c r="H843" s="49"/>
      <c r="I843" s="49"/>
      <c r="J843" s="41"/>
      <c r="K843" s="15"/>
      <c r="L843" s="15"/>
      <c r="M843" s="15"/>
      <c r="N843" s="15"/>
      <c r="P843" s="15"/>
    </row>
    <row r="844" spans="1:16" ht="12.75">
      <c r="A844" s="49"/>
      <c r="B844" s="49"/>
      <c r="C844" s="49"/>
      <c r="D844" s="39"/>
      <c r="E844" s="40"/>
      <c r="H844" s="49"/>
      <c r="I844" s="49"/>
      <c r="J844" s="41"/>
      <c r="K844" s="15"/>
      <c r="L844" s="15"/>
      <c r="M844" s="15"/>
      <c r="N844" s="15"/>
      <c r="P844" s="15"/>
    </row>
    <row r="845" spans="1:16" ht="12.75">
      <c r="A845" s="49"/>
      <c r="B845" s="49"/>
      <c r="C845" s="49"/>
      <c r="D845" s="39"/>
      <c r="E845" s="40"/>
      <c r="H845" s="49"/>
      <c r="I845" s="49"/>
      <c r="J845" s="41"/>
      <c r="K845" s="15"/>
      <c r="L845" s="15"/>
      <c r="M845" s="15"/>
      <c r="N845" s="15"/>
      <c r="P845" s="15"/>
    </row>
    <row r="846" spans="1:16" ht="12.75">
      <c r="A846" s="49"/>
      <c r="B846" s="49"/>
      <c r="C846" s="49"/>
      <c r="D846" s="39"/>
      <c r="E846" s="40"/>
      <c r="H846" s="49"/>
      <c r="I846" s="49"/>
      <c r="J846" s="41"/>
      <c r="K846" s="15"/>
      <c r="L846" s="15"/>
      <c r="M846" s="15"/>
      <c r="N846" s="15"/>
      <c r="P846" s="15"/>
    </row>
    <row r="847" spans="1:16" ht="12.75">
      <c r="A847" s="49"/>
      <c r="B847" s="49"/>
      <c r="C847" s="49"/>
      <c r="D847" s="39"/>
      <c r="E847" s="40"/>
      <c r="H847" s="49"/>
      <c r="I847" s="49"/>
      <c r="J847" s="41"/>
      <c r="K847" s="15"/>
      <c r="L847" s="15"/>
      <c r="M847" s="15"/>
      <c r="N847" s="15"/>
      <c r="P847" s="15"/>
    </row>
    <row r="848" spans="1:16" ht="12.75">
      <c r="A848" s="49"/>
      <c r="B848" s="49"/>
      <c r="C848" s="49"/>
      <c r="D848" s="39"/>
      <c r="E848" s="40"/>
      <c r="H848" s="49"/>
      <c r="I848" s="49"/>
      <c r="J848" s="41"/>
      <c r="K848" s="15"/>
      <c r="L848" s="15"/>
      <c r="M848" s="15"/>
      <c r="N848" s="15"/>
      <c r="P848" s="15"/>
    </row>
    <row r="849" spans="1:16" ht="12.75">
      <c r="A849" s="49"/>
      <c r="B849" s="49"/>
      <c r="C849" s="49"/>
      <c r="D849" s="39"/>
      <c r="E849" s="40"/>
      <c r="H849" s="49"/>
      <c r="I849" s="49"/>
      <c r="J849" s="41"/>
      <c r="K849" s="15"/>
      <c r="L849" s="15"/>
      <c r="M849" s="15"/>
      <c r="N849" s="15"/>
      <c r="P849" s="15"/>
    </row>
    <row r="850" spans="1:16" ht="12.75">
      <c r="A850" s="49"/>
      <c r="B850" s="49"/>
      <c r="C850" s="49"/>
      <c r="D850" s="39"/>
      <c r="E850" s="40"/>
      <c r="H850" s="49"/>
      <c r="I850" s="49"/>
      <c r="J850" s="41"/>
      <c r="K850" s="15"/>
      <c r="L850" s="15"/>
      <c r="M850" s="15"/>
      <c r="N850" s="15"/>
      <c r="P850" s="15"/>
    </row>
    <row r="851" spans="1:16" ht="12.75">
      <c r="A851" s="49"/>
      <c r="B851" s="49"/>
      <c r="C851" s="49"/>
      <c r="D851" s="39"/>
      <c r="E851" s="40"/>
      <c r="H851" s="49"/>
      <c r="I851" s="49"/>
      <c r="J851" s="41"/>
      <c r="K851" s="15"/>
      <c r="L851" s="15"/>
      <c r="M851" s="15"/>
      <c r="N851" s="15"/>
      <c r="P851" s="15"/>
    </row>
    <row r="852" spans="1:16" ht="12.75">
      <c r="A852" s="49"/>
      <c r="B852" s="49"/>
      <c r="C852" s="49"/>
      <c r="D852" s="39"/>
      <c r="E852" s="40"/>
      <c r="H852" s="49"/>
      <c r="I852" s="49"/>
      <c r="J852" s="41"/>
      <c r="K852" s="15"/>
      <c r="L852" s="15"/>
      <c r="M852" s="15"/>
      <c r="N852" s="15"/>
      <c r="P852" s="15"/>
    </row>
    <row r="853" spans="1:16" ht="12.75">
      <c r="A853" s="49"/>
      <c r="B853" s="49"/>
      <c r="C853" s="49"/>
      <c r="D853" s="39"/>
      <c r="E853" s="40"/>
      <c r="H853" s="49"/>
      <c r="I853" s="49"/>
      <c r="J853" s="41"/>
      <c r="K853" s="15"/>
      <c r="L853" s="15"/>
      <c r="M853" s="15"/>
      <c r="N853" s="15"/>
      <c r="P853" s="15"/>
    </row>
    <row r="854" spans="1:16" ht="12.75">
      <c r="A854" s="49"/>
      <c r="B854" s="49"/>
      <c r="C854" s="49"/>
      <c r="D854" s="39"/>
      <c r="E854" s="40"/>
      <c r="H854" s="49"/>
      <c r="I854" s="49"/>
      <c r="J854" s="41"/>
      <c r="K854" s="15"/>
      <c r="L854" s="15"/>
      <c r="M854" s="15"/>
      <c r="N854" s="15"/>
      <c r="P854" s="15"/>
    </row>
    <row r="855" spans="1:16" ht="12.75">
      <c r="A855" s="49"/>
      <c r="B855" s="49"/>
      <c r="C855" s="49"/>
      <c r="D855" s="39"/>
      <c r="E855" s="40"/>
      <c r="H855" s="49"/>
      <c r="I855" s="49"/>
      <c r="J855" s="41"/>
      <c r="K855" s="15"/>
      <c r="L855" s="15"/>
      <c r="M855" s="15"/>
      <c r="N855" s="15"/>
      <c r="P855" s="15"/>
    </row>
    <row r="856" spans="1:16" ht="12.75">
      <c r="A856" s="49"/>
      <c r="B856" s="49"/>
      <c r="C856" s="49"/>
      <c r="D856" s="39"/>
      <c r="E856" s="40"/>
      <c r="H856" s="49"/>
      <c r="I856" s="49"/>
      <c r="J856" s="41"/>
      <c r="K856" s="15"/>
      <c r="L856" s="15"/>
      <c r="M856" s="15"/>
      <c r="N856" s="15"/>
      <c r="P856" s="15"/>
    </row>
    <row r="857" spans="1:16" ht="12.75">
      <c r="A857" s="49"/>
      <c r="B857" s="49"/>
      <c r="C857" s="49"/>
      <c r="D857" s="39"/>
      <c r="E857" s="40"/>
      <c r="H857" s="49"/>
      <c r="I857" s="49"/>
      <c r="J857" s="41"/>
      <c r="K857" s="15"/>
      <c r="L857" s="15"/>
      <c r="M857" s="15"/>
      <c r="N857" s="15"/>
      <c r="P857" s="15"/>
    </row>
    <row r="858" spans="1:16" ht="12.75">
      <c r="A858" s="49"/>
      <c r="B858" s="49"/>
      <c r="C858" s="49"/>
      <c r="D858" s="39"/>
      <c r="E858" s="40"/>
      <c r="H858" s="49"/>
      <c r="I858" s="49"/>
      <c r="J858" s="41"/>
      <c r="K858" s="15"/>
      <c r="L858" s="15"/>
      <c r="M858" s="15"/>
      <c r="N858" s="15"/>
      <c r="P858" s="15"/>
    </row>
    <row r="859" spans="1:16" ht="12.75">
      <c r="A859" s="49"/>
      <c r="B859" s="49"/>
      <c r="C859" s="49"/>
      <c r="D859" s="39"/>
      <c r="E859" s="40"/>
      <c r="H859" s="49"/>
      <c r="I859" s="49"/>
      <c r="J859" s="41"/>
      <c r="K859" s="15"/>
      <c r="L859" s="15"/>
      <c r="M859" s="15"/>
      <c r="N859" s="15"/>
      <c r="P859" s="15"/>
    </row>
    <row r="860" spans="1:16" ht="12.75">
      <c r="A860" s="49"/>
      <c r="B860" s="49"/>
      <c r="C860" s="49"/>
      <c r="D860" s="39"/>
      <c r="E860" s="40"/>
      <c r="H860" s="49"/>
      <c r="I860" s="49"/>
      <c r="J860" s="41"/>
      <c r="K860" s="15"/>
      <c r="L860" s="15"/>
      <c r="M860" s="15"/>
      <c r="N860" s="15"/>
      <c r="P860" s="15"/>
    </row>
    <row r="861" spans="1:16" ht="12.75">
      <c r="A861" s="49"/>
      <c r="B861" s="49"/>
      <c r="C861" s="49"/>
      <c r="D861" s="39"/>
      <c r="E861" s="40"/>
      <c r="H861" s="49"/>
      <c r="I861" s="49"/>
      <c r="J861" s="41"/>
      <c r="K861" s="15"/>
      <c r="L861" s="15"/>
      <c r="M861" s="15"/>
      <c r="N861" s="15"/>
      <c r="P861" s="15"/>
    </row>
    <row r="862" spans="1:16" ht="12.75">
      <c r="A862" s="49"/>
      <c r="B862" s="49"/>
      <c r="C862" s="49"/>
      <c r="D862" s="39"/>
      <c r="E862" s="40"/>
      <c r="H862" s="49"/>
      <c r="I862" s="49"/>
      <c r="J862" s="41"/>
      <c r="K862" s="15"/>
      <c r="L862" s="15"/>
      <c r="M862" s="15"/>
      <c r="N862" s="15"/>
      <c r="P862" s="15"/>
    </row>
    <row r="863" spans="1:16" ht="12.75">
      <c r="A863" s="49"/>
      <c r="B863" s="49"/>
      <c r="C863" s="49"/>
      <c r="D863" s="39"/>
      <c r="E863" s="40"/>
      <c r="H863" s="49"/>
      <c r="I863" s="49"/>
      <c r="J863" s="41"/>
      <c r="K863" s="15"/>
      <c r="L863" s="15"/>
      <c r="M863" s="15"/>
      <c r="N863" s="15"/>
      <c r="P863" s="15"/>
    </row>
    <row r="864" spans="1:16" ht="12.75">
      <c r="A864" s="49"/>
      <c r="B864" s="49"/>
      <c r="C864" s="49"/>
      <c r="D864" s="39"/>
      <c r="E864" s="40"/>
      <c r="H864" s="49"/>
      <c r="I864" s="49"/>
      <c r="J864" s="41"/>
      <c r="K864" s="15"/>
      <c r="L864" s="15"/>
      <c r="M864" s="15"/>
      <c r="N864" s="15"/>
      <c r="P864" s="15"/>
    </row>
    <row r="865" spans="1:16" ht="12.75">
      <c r="A865" s="49"/>
      <c r="B865" s="49"/>
      <c r="C865" s="49"/>
      <c r="D865" s="39"/>
      <c r="E865" s="40"/>
      <c r="H865" s="49"/>
      <c r="I865" s="49"/>
      <c r="J865" s="41"/>
      <c r="K865" s="15"/>
      <c r="L865" s="15"/>
      <c r="M865" s="15"/>
      <c r="N865" s="15"/>
      <c r="P865" s="15"/>
    </row>
    <row r="866" spans="1:16" ht="12.75">
      <c r="A866" s="49"/>
      <c r="B866" s="49"/>
      <c r="C866" s="49"/>
      <c r="D866" s="39"/>
      <c r="E866" s="40"/>
      <c r="H866" s="49"/>
      <c r="I866" s="49"/>
      <c r="J866" s="41"/>
      <c r="K866" s="15"/>
      <c r="L866" s="15"/>
      <c r="M866" s="15"/>
      <c r="N866" s="15"/>
      <c r="P866" s="15"/>
    </row>
    <row r="867" spans="1:16" ht="12.75">
      <c r="A867" s="49"/>
      <c r="B867" s="49"/>
      <c r="C867" s="49"/>
      <c r="D867" s="39"/>
      <c r="E867" s="40"/>
      <c r="H867" s="49"/>
      <c r="I867" s="49"/>
      <c r="J867" s="41"/>
      <c r="K867" s="15"/>
      <c r="L867" s="15"/>
      <c r="M867" s="15"/>
      <c r="N867" s="15"/>
      <c r="P867" s="15"/>
    </row>
    <row r="868" spans="1:16" ht="12.75">
      <c r="A868" s="49"/>
      <c r="B868" s="49"/>
      <c r="C868" s="49"/>
      <c r="D868" s="39"/>
      <c r="E868" s="40"/>
      <c r="H868" s="49"/>
      <c r="I868" s="49"/>
      <c r="J868" s="41"/>
      <c r="K868" s="15"/>
      <c r="L868" s="15"/>
      <c r="M868" s="15"/>
      <c r="N868" s="15"/>
      <c r="P868" s="15"/>
    </row>
    <row r="869" spans="1:16" ht="12.75">
      <c r="A869" s="49"/>
      <c r="B869" s="49"/>
      <c r="C869" s="49"/>
      <c r="D869" s="39"/>
      <c r="E869" s="40"/>
      <c r="H869" s="49"/>
      <c r="I869" s="49"/>
      <c r="J869" s="41"/>
      <c r="K869" s="15"/>
      <c r="L869" s="15"/>
      <c r="M869" s="15"/>
      <c r="N869" s="15"/>
      <c r="P869" s="15"/>
    </row>
    <row r="870" spans="1:16" ht="12.75">
      <c r="A870" s="49"/>
      <c r="B870" s="49"/>
      <c r="C870" s="49"/>
      <c r="D870" s="39"/>
      <c r="E870" s="40"/>
      <c r="H870" s="49"/>
      <c r="I870" s="49"/>
      <c r="J870" s="41"/>
      <c r="K870" s="15"/>
      <c r="L870" s="15"/>
      <c r="M870" s="15"/>
      <c r="N870" s="15"/>
      <c r="P870" s="15"/>
    </row>
    <row r="871" spans="1:16" ht="12.75">
      <c r="A871" s="49"/>
      <c r="B871" s="49"/>
      <c r="C871" s="49"/>
      <c r="D871" s="39"/>
      <c r="E871" s="40"/>
      <c r="H871" s="49"/>
      <c r="I871" s="49"/>
      <c r="J871" s="41"/>
      <c r="K871" s="15"/>
      <c r="L871" s="15"/>
      <c r="M871" s="15"/>
      <c r="N871" s="15"/>
      <c r="P871" s="15"/>
    </row>
    <row r="872" spans="1:16" ht="12.75">
      <c r="A872" s="49"/>
      <c r="B872" s="49"/>
      <c r="C872" s="49"/>
      <c r="D872" s="39"/>
      <c r="E872" s="40"/>
      <c r="H872" s="49"/>
      <c r="I872" s="49"/>
      <c r="J872" s="41"/>
      <c r="K872" s="15"/>
      <c r="L872" s="15"/>
      <c r="M872" s="15"/>
      <c r="N872" s="15"/>
      <c r="P872" s="15"/>
    </row>
    <row r="873" spans="1:16" ht="12.75">
      <c r="A873" s="49"/>
      <c r="B873" s="49"/>
      <c r="C873" s="49"/>
      <c r="D873" s="39"/>
      <c r="E873" s="40"/>
      <c r="H873" s="49"/>
      <c r="I873" s="49"/>
      <c r="J873" s="41"/>
      <c r="K873" s="15"/>
      <c r="L873" s="15"/>
      <c r="M873" s="15"/>
      <c r="N873" s="15"/>
      <c r="P873" s="15"/>
    </row>
    <row r="874" spans="1:16" ht="12.75">
      <c r="A874" s="49"/>
      <c r="B874" s="49"/>
      <c r="C874" s="49"/>
      <c r="D874" s="39"/>
      <c r="E874" s="40"/>
      <c r="H874" s="49"/>
      <c r="I874" s="49"/>
      <c r="J874" s="41"/>
      <c r="K874" s="15"/>
      <c r="L874" s="15"/>
      <c r="M874" s="15"/>
      <c r="N874" s="15"/>
      <c r="P874" s="15"/>
    </row>
    <row r="875" spans="1:16" ht="12.75">
      <c r="A875" s="49"/>
      <c r="B875" s="49"/>
      <c r="C875" s="49"/>
      <c r="D875" s="39"/>
      <c r="E875" s="40"/>
      <c r="H875" s="49"/>
      <c r="I875" s="49"/>
      <c r="J875" s="41"/>
      <c r="K875" s="15"/>
      <c r="L875" s="15"/>
      <c r="M875" s="15"/>
      <c r="N875" s="15"/>
      <c r="P875" s="15"/>
    </row>
    <row r="876" spans="1:16" ht="12.75">
      <c r="A876" s="49"/>
      <c r="B876" s="49"/>
      <c r="C876" s="49"/>
      <c r="D876" s="39"/>
      <c r="E876" s="40"/>
      <c r="H876" s="49"/>
      <c r="I876" s="49"/>
      <c r="J876" s="41"/>
      <c r="K876" s="15"/>
      <c r="L876" s="15"/>
      <c r="M876" s="15"/>
      <c r="N876" s="15"/>
      <c r="P876" s="15"/>
    </row>
    <row r="877" spans="1:16" ht="12.75">
      <c r="A877" s="49"/>
      <c r="B877" s="49"/>
      <c r="C877" s="49"/>
      <c r="D877" s="39"/>
      <c r="E877" s="40"/>
      <c r="H877" s="49"/>
      <c r="I877" s="49"/>
      <c r="J877" s="41"/>
      <c r="K877" s="15"/>
      <c r="L877" s="15"/>
      <c r="M877" s="15"/>
      <c r="N877" s="15"/>
      <c r="P877" s="15"/>
    </row>
    <row r="878" spans="1:16" ht="12.75">
      <c r="A878" s="49"/>
      <c r="B878" s="49"/>
      <c r="C878" s="49"/>
      <c r="D878" s="39"/>
      <c r="E878" s="40"/>
      <c r="H878" s="49"/>
      <c r="I878" s="49"/>
      <c r="J878" s="41"/>
      <c r="K878" s="15"/>
      <c r="L878" s="15"/>
      <c r="M878" s="15"/>
      <c r="N878" s="15"/>
      <c r="P878" s="15"/>
    </row>
    <row r="879" spans="1:16" ht="12.75">
      <c r="A879" s="49"/>
      <c r="B879" s="49"/>
      <c r="C879" s="49"/>
      <c r="D879" s="39"/>
      <c r="E879" s="40"/>
      <c r="H879" s="49"/>
      <c r="I879" s="49"/>
      <c r="J879" s="41"/>
      <c r="K879" s="15"/>
      <c r="L879" s="15"/>
      <c r="M879" s="15"/>
      <c r="N879" s="15"/>
      <c r="P879" s="15"/>
    </row>
    <row r="880" spans="1:16" ht="12.75">
      <c r="A880" s="49"/>
      <c r="B880" s="49"/>
      <c r="C880" s="49"/>
      <c r="D880" s="39"/>
      <c r="E880" s="40"/>
      <c r="H880" s="49"/>
      <c r="I880" s="49"/>
      <c r="J880" s="41"/>
      <c r="K880" s="15"/>
      <c r="L880" s="15"/>
      <c r="M880" s="15"/>
      <c r="N880" s="15"/>
      <c r="P880" s="15"/>
    </row>
    <row r="881" spans="1:16" ht="12.75">
      <c r="A881" s="49"/>
      <c r="B881" s="49"/>
      <c r="C881" s="49"/>
      <c r="D881" s="39"/>
      <c r="E881" s="40"/>
      <c r="H881" s="49"/>
      <c r="I881" s="49"/>
      <c r="J881" s="41"/>
      <c r="K881" s="15"/>
      <c r="L881" s="15"/>
      <c r="M881" s="15"/>
      <c r="N881" s="15"/>
      <c r="P881" s="15"/>
    </row>
    <row r="882" spans="1:16" ht="12.75">
      <c r="A882" s="49"/>
      <c r="B882" s="49"/>
      <c r="C882" s="49"/>
      <c r="D882" s="39"/>
      <c r="E882" s="40"/>
      <c r="H882" s="49"/>
      <c r="I882" s="49"/>
      <c r="J882" s="41"/>
      <c r="K882" s="15"/>
      <c r="L882" s="15"/>
      <c r="M882" s="15"/>
      <c r="N882" s="15"/>
      <c r="P882" s="15"/>
    </row>
    <row r="883" spans="1:16" ht="12.75">
      <c r="A883" s="49"/>
      <c r="B883" s="49"/>
      <c r="C883" s="49"/>
      <c r="D883" s="39"/>
      <c r="E883" s="40"/>
      <c r="H883" s="49"/>
      <c r="I883" s="49"/>
      <c r="J883" s="41"/>
      <c r="K883" s="15"/>
      <c r="L883" s="15"/>
      <c r="M883" s="15"/>
      <c r="N883" s="15"/>
      <c r="P883" s="15"/>
    </row>
    <row r="884" spans="1:16" ht="12.75">
      <c r="A884" s="49"/>
      <c r="B884" s="49"/>
      <c r="C884" s="49"/>
      <c r="D884" s="39"/>
      <c r="E884" s="40"/>
      <c r="H884" s="49"/>
      <c r="I884" s="49"/>
      <c r="J884" s="41"/>
      <c r="K884" s="15"/>
      <c r="L884" s="15"/>
      <c r="M884" s="15"/>
      <c r="N884" s="15"/>
      <c r="P884" s="15"/>
    </row>
    <row r="885" spans="1:16" ht="12.75">
      <c r="A885" s="49"/>
      <c r="B885" s="49"/>
      <c r="C885" s="49"/>
      <c r="D885" s="39"/>
      <c r="E885" s="40"/>
      <c r="H885" s="49"/>
      <c r="I885" s="49"/>
      <c r="J885" s="41"/>
      <c r="K885" s="15"/>
      <c r="L885" s="15"/>
      <c r="M885" s="15"/>
      <c r="N885" s="15"/>
      <c r="P885" s="15"/>
    </row>
    <row r="886" spans="1:16" ht="12.75">
      <c r="A886" s="49"/>
      <c r="B886" s="49"/>
      <c r="C886" s="49"/>
      <c r="D886" s="39"/>
      <c r="E886" s="40"/>
      <c r="H886" s="49"/>
      <c r="I886" s="49"/>
      <c r="J886" s="41"/>
      <c r="K886" s="15"/>
      <c r="L886" s="15"/>
      <c r="M886" s="15"/>
      <c r="N886" s="15"/>
      <c r="P886" s="15"/>
    </row>
    <row r="887" spans="1:16" ht="12.75">
      <c r="A887" s="49"/>
      <c r="B887" s="49"/>
      <c r="C887" s="49"/>
      <c r="D887" s="39"/>
      <c r="E887" s="40"/>
      <c r="H887" s="49"/>
      <c r="I887" s="49"/>
      <c r="J887" s="41"/>
      <c r="K887" s="15"/>
      <c r="L887" s="15"/>
      <c r="M887" s="15"/>
      <c r="N887" s="15"/>
      <c r="P887" s="15"/>
    </row>
    <row r="888" spans="1:16" ht="12.75">
      <c r="A888" s="49"/>
      <c r="B888" s="49"/>
      <c r="C888" s="49"/>
      <c r="D888" s="39"/>
      <c r="E888" s="40"/>
      <c r="H888" s="49"/>
      <c r="I888" s="49"/>
      <c r="J888" s="41"/>
      <c r="K888" s="15"/>
      <c r="L888" s="15"/>
      <c r="M888" s="15"/>
      <c r="N888" s="15"/>
      <c r="P888" s="15"/>
    </row>
    <row r="889" spans="1:16" ht="12.75">
      <c r="A889" s="49"/>
      <c r="B889" s="49"/>
      <c r="C889" s="49"/>
      <c r="D889" s="39"/>
      <c r="E889" s="40"/>
      <c r="H889" s="49"/>
      <c r="I889" s="49"/>
      <c r="J889" s="41"/>
      <c r="K889" s="15"/>
      <c r="L889" s="15"/>
      <c r="M889" s="15"/>
      <c r="N889" s="15"/>
      <c r="P889" s="15"/>
    </row>
    <row r="890" spans="1:16" ht="12.75">
      <c r="A890" s="49"/>
      <c r="B890" s="49"/>
      <c r="C890" s="49"/>
      <c r="D890" s="39"/>
      <c r="E890" s="40"/>
      <c r="H890" s="49"/>
      <c r="I890" s="49"/>
      <c r="J890" s="41"/>
      <c r="K890" s="15"/>
      <c r="L890" s="15"/>
      <c r="M890" s="15"/>
      <c r="N890" s="15"/>
      <c r="P890" s="15"/>
    </row>
    <row r="891" spans="1:16" ht="12.75">
      <c r="A891" s="49"/>
      <c r="B891" s="49"/>
      <c r="C891" s="49"/>
      <c r="D891" s="39"/>
      <c r="E891" s="40"/>
      <c r="H891" s="49"/>
      <c r="I891" s="49"/>
      <c r="J891" s="41"/>
      <c r="K891" s="15"/>
      <c r="L891" s="15"/>
      <c r="M891" s="15"/>
      <c r="N891" s="15"/>
      <c r="P891" s="15"/>
    </row>
    <row r="892" spans="1:16" ht="12.75">
      <c r="A892" s="49"/>
      <c r="B892" s="49"/>
      <c r="C892" s="49"/>
      <c r="D892" s="39"/>
      <c r="E892" s="40"/>
      <c r="H892" s="49"/>
      <c r="I892" s="49"/>
      <c r="J892" s="41"/>
      <c r="K892" s="15"/>
      <c r="L892" s="15"/>
      <c r="M892" s="15"/>
      <c r="N892" s="15"/>
      <c r="P892" s="15"/>
    </row>
    <row r="893" spans="1:16" ht="12.75">
      <c r="A893" s="49"/>
      <c r="B893" s="49"/>
      <c r="C893" s="49"/>
      <c r="D893" s="39"/>
      <c r="E893" s="40"/>
      <c r="H893" s="49"/>
      <c r="I893" s="49"/>
      <c r="J893" s="41"/>
      <c r="K893" s="15"/>
      <c r="L893" s="15"/>
      <c r="M893" s="15"/>
      <c r="N893" s="15"/>
      <c r="P893" s="15"/>
    </row>
    <row r="894" spans="1:16" ht="12.75">
      <c r="A894" s="49"/>
      <c r="B894" s="49"/>
      <c r="C894" s="49"/>
      <c r="D894" s="39"/>
      <c r="E894" s="40"/>
      <c r="H894" s="49"/>
      <c r="I894" s="49"/>
      <c r="J894" s="41"/>
      <c r="K894" s="15"/>
      <c r="L894" s="15"/>
      <c r="M894" s="15"/>
      <c r="N894" s="15"/>
      <c r="P894" s="15"/>
    </row>
    <row r="895" spans="1:16" ht="12.75">
      <c r="A895" s="49"/>
      <c r="B895" s="49"/>
      <c r="C895" s="49"/>
      <c r="D895" s="39"/>
      <c r="E895" s="40"/>
      <c r="H895" s="49"/>
      <c r="I895" s="49"/>
      <c r="J895" s="41"/>
      <c r="K895" s="15"/>
      <c r="L895" s="15"/>
      <c r="M895" s="15"/>
      <c r="N895" s="15"/>
      <c r="P895" s="15"/>
    </row>
    <row r="896" spans="1:16" ht="12.75">
      <c r="A896" s="49"/>
      <c r="B896" s="49"/>
      <c r="C896" s="49"/>
      <c r="D896" s="39"/>
      <c r="E896" s="40"/>
      <c r="H896" s="49"/>
      <c r="I896" s="49"/>
      <c r="J896" s="41"/>
      <c r="K896" s="15"/>
      <c r="L896" s="15"/>
      <c r="M896" s="15"/>
      <c r="N896" s="15"/>
      <c r="P896" s="15"/>
    </row>
    <row r="897" spans="1:16" ht="12.75">
      <c r="A897" s="49"/>
      <c r="B897" s="49"/>
      <c r="C897" s="49"/>
      <c r="D897" s="39"/>
      <c r="E897" s="40"/>
      <c r="H897" s="49"/>
      <c r="I897" s="49"/>
      <c r="J897" s="41"/>
      <c r="K897" s="15"/>
      <c r="L897" s="15"/>
      <c r="M897" s="15"/>
      <c r="N897" s="15"/>
      <c r="P897" s="15"/>
    </row>
    <row r="898" spans="1:16" ht="12.75">
      <c r="A898" s="49"/>
      <c r="B898" s="49"/>
      <c r="C898" s="49"/>
      <c r="D898" s="39"/>
      <c r="E898" s="40"/>
      <c r="H898" s="49"/>
      <c r="I898" s="49"/>
      <c r="J898" s="41"/>
      <c r="K898" s="15"/>
      <c r="L898" s="15"/>
      <c r="M898" s="15"/>
      <c r="N898" s="15"/>
      <c r="P898" s="15"/>
    </row>
    <row r="899" spans="1:16" ht="12.75">
      <c r="A899" s="49"/>
      <c r="B899" s="49"/>
      <c r="C899" s="49"/>
      <c r="D899" s="39"/>
      <c r="E899" s="40"/>
      <c r="H899" s="49"/>
      <c r="I899" s="49"/>
      <c r="J899" s="41"/>
      <c r="K899" s="15"/>
      <c r="L899" s="15"/>
      <c r="M899" s="15"/>
      <c r="N899" s="15"/>
      <c r="P899" s="15"/>
    </row>
    <row r="900" spans="1:16" ht="12.75">
      <c r="A900" s="49"/>
      <c r="B900" s="49"/>
      <c r="C900" s="49"/>
      <c r="D900" s="39"/>
      <c r="E900" s="40"/>
      <c r="H900" s="49"/>
      <c r="I900" s="49"/>
      <c r="J900" s="41"/>
      <c r="K900" s="15"/>
      <c r="L900" s="15"/>
      <c r="M900" s="15"/>
      <c r="N900" s="15"/>
      <c r="P900" s="15"/>
    </row>
    <row r="901" spans="1:16" ht="12.75">
      <c r="A901" s="49"/>
      <c r="B901" s="49"/>
      <c r="C901" s="49"/>
      <c r="D901" s="39"/>
      <c r="E901" s="40"/>
      <c r="H901" s="49"/>
      <c r="I901" s="49"/>
      <c r="J901" s="41"/>
      <c r="K901" s="15"/>
      <c r="L901" s="15"/>
      <c r="M901" s="15"/>
      <c r="N901" s="15"/>
      <c r="P901" s="15"/>
    </row>
    <row r="902" spans="1:16" ht="12.75">
      <c r="A902" s="49"/>
      <c r="B902" s="49"/>
      <c r="C902" s="49"/>
      <c r="D902" s="39"/>
      <c r="E902" s="40"/>
      <c r="H902" s="49"/>
      <c r="I902" s="49"/>
      <c r="J902" s="41"/>
      <c r="K902" s="15"/>
      <c r="L902" s="15"/>
      <c r="M902" s="15"/>
      <c r="N902" s="15"/>
      <c r="P902" s="15"/>
    </row>
    <row r="903" spans="1:16" ht="12.75">
      <c r="A903" s="49"/>
      <c r="B903" s="49"/>
      <c r="C903" s="49"/>
      <c r="D903" s="39"/>
      <c r="E903" s="40"/>
      <c r="H903" s="49"/>
      <c r="I903" s="49"/>
      <c r="J903" s="41"/>
      <c r="K903" s="15"/>
      <c r="L903" s="15"/>
      <c r="M903" s="15"/>
      <c r="N903" s="15"/>
      <c r="P903" s="15"/>
    </row>
    <row r="904" spans="1:16" ht="12.75">
      <c r="A904" s="49"/>
      <c r="B904" s="49"/>
      <c r="C904" s="49"/>
      <c r="D904" s="39"/>
      <c r="E904" s="40"/>
      <c r="H904" s="49"/>
      <c r="I904" s="49"/>
      <c r="J904" s="41"/>
      <c r="K904" s="15"/>
      <c r="L904" s="15"/>
      <c r="M904" s="15"/>
      <c r="N904" s="15"/>
      <c r="P904" s="15"/>
    </row>
    <row r="905" spans="1:16" ht="12.75">
      <c r="A905" s="49"/>
      <c r="B905" s="49"/>
      <c r="C905" s="49"/>
      <c r="D905" s="39"/>
      <c r="E905" s="40"/>
      <c r="H905" s="49"/>
      <c r="I905" s="49"/>
      <c r="J905" s="41"/>
      <c r="K905" s="15"/>
      <c r="L905" s="15"/>
      <c r="M905" s="15"/>
      <c r="N905" s="15"/>
      <c r="P905" s="15"/>
    </row>
    <row r="906" spans="1:16" ht="12.75">
      <c r="A906" s="49"/>
      <c r="B906" s="49"/>
      <c r="C906" s="49"/>
      <c r="D906" s="39"/>
      <c r="E906" s="40"/>
      <c r="H906" s="49"/>
      <c r="I906" s="49"/>
      <c r="J906" s="41"/>
      <c r="K906" s="15"/>
      <c r="L906" s="15"/>
      <c r="M906" s="15"/>
      <c r="N906" s="15"/>
      <c r="P906" s="15"/>
    </row>
    <row r="907" spans="1:16" ht="12.75">
      <c r="A907" s="49"/>
      <c r="B907" s="49"/>
      <c r="C907" s="49"/>
      <c r="D907" s="39"/>
      <c r="E907" s="40"/>
      <c r="H907" s="49"/>
      <c r="I907" s="49"/>
      <c r="J907" s="41"/>
      <c r="K907" s="15"/>
      <c r="L907" s="15"/>
      <c r="M907" s="15"/>
      <c r="N907" s="15"/>
      <c r="P907" s="15"/>
    </row>
    <row r="908" spans="1:16" ht="12.75">
      <c r="A908" s="49"/>
      <c r="B908" s="49"/>
      <c r="C908" s="49"/>
      <c r="D908" s="39"/>
      <c r="E908" s="40"/>
      <c r="H908" s="49"/>
      <c r="I908" s="49"/>
      <c r="J908" s="41"/>
      <c r="K908" s="15"/>
      <c r="L908" s="15"/>
      <c r="M908" s="15"/>
      <c r="N908" s="15"/>
      <c r="P908" s="15"/>
    </row>
    <row r="909" spans="1:16" ht="12.75">
      <c r="A909" s="49"/>
      <c r="B909" s="49"/>
      <c r="C909" s="49"/>
      <c r="D909" s="39"/>
      <c r="E909" s="40"/>
      <c r="H909" s="49"/>
      <c r="I909" s="49"/>
      <c r="J909" s="41"/>
      <c r="K909" s="15"/>
      <c r="L909" s="15"/>
      <c r="M909" s="15"/>
      <c r="N909" s="15"/>
      <c r="P909" s="15"/>
    </row>
    <row r="910" spans="1:16" ht="12.75">
      <c r="A910" s="49"/>
      <c r="B910" s="49"/>
      <c r="C910" s="49"/>
      <c r="D910" s="39"/>
      <c r="E910" s="40"/>
      <c r="H910" s="49"/>
      <c r="I910" s="49"/>
      <c r="J910" s="41"/>
      <c r="K910" s="15"/>
      <c r="L910" s="15"/>
      <c r="M910" s="15"/>
      <c r="N910" s="15"/>
      <c r="P910" s="15"/>
    </row>
    <row r="911" spans="1:16" ht="12.75">
      <c r="A911" s="49"/>
      <c r="B911" s="49"/>
      <c r="C911" s="49"/>
      <c r="D911" s="39"/>
      <c r="E911" s="40"/>
      <c r="H911" s="49"/>
      <c r="I911" s="49"/>
      <c r="J911" s="41"/>
      <c r="K911" s="15"/>
      <c r="L911" s="15"/>
      <c r="M911" s="15"/>
      <c r="N911" s="15"/>
      <c r="P911" s="15"/>
    </row>
    <row r="912" spans="1:16" ht="12.75">
      <c r="A912" s="49"/>
      <c r="B912" s="49"/>
      <c r="C912" s="49"/>
      <c r="D912" s="39"/>
      <c r="E912" s="40"/>
      <c r="H912" s="49"/>
      <c r="I912" s="49"/>
      <c r="J912" s="41"/>
      <c r="K912" s="15"/>
      <c r="L912" s="15"/>
      <c r="M912" s="15"/>
      <c r="N912" s="15"/>
      <c r="P912" s="15"/>
    </row>
    <row r="913" spans="1:16" ht="12.75">
      <c r="A913" s="49"/>
      <c r="B913" s="49"/>
      <c r="C913" s="49"/>
      <c r="D913" s="39"/>
      <c r="E913" s="40"/>
      <c r="H913" s="49"/>
      <c r="I913" s="49"/>
      <c r="J913" s="41"/>
      <c r="K913" s="15"/>
      <c r="L913" s="15"/>
      <c r="M913" s="15"/>
      <c r="N913" s="15"/>
      <c r="P913" s="15"/>
    </row>
    <row r="914" spans="1:16" ht="12.75">
      <c r="A914" s="49"/>
      <c r="B914" s="49"/>
      <c r="C914" s="49"/>
      <c r="D914" s="39"/>
      <c r="E914" s="40"/>
      <c r="H914" s="49"/>
      <c r="I914" s="49"/>
      <c r="J914" s="41"/>
      <c r="K914" s="15"/>
      <c r="L914" s="15"/>
      <c r="M914" s="15"/>
      <c r="N914" s="15"/>
      <c r="P914" s="15"/>
    </row>
    <row r="915" spans="1:16" ht="12.75">
      <c r="A915" s="49"/>
      <c r="B915" s="49"/>
      <c r="C915" s="49"/>
      <c r="D915" s="39"/>
      <c r="E915" s="40"/>
      <c r="H915" s="49"/>
      <c r="I915" s="49"/>
      <c r="J915" s="41"/>
      <c r="K915" s="15"/>
      <c r="L915" s="15"/>
      <c r="M915" s="15"/>
      <c r="N915" s="15"/>
      <c r="P915" s="15"/>
    </row>
    <row r="916" spans="1:16" ht="12.75">
      <c r="A916" s="49"/>
      <c r="B916" s="49"/>
      <c r="C916" s="49"/>
      <c r="D916" s="39"/>
      <c r="E916" s="40"/>
      <c r="H916" s="49"/>
      <c r="I916" s="49"/>
      <c r="J916" s="41"/>
      <c r="K916" s="15"/>
      <c r="L916" s="15"/>
      <c r="M916" s="15"/>
      <c r="N916" s="15"/>
      <c r="P916" s="15"/>
    </row>
    <row r="917" spans="1:16" ht="12.75">
      <c r="A917" s="49"/>
      <c r="B917" s="49"/>
      <c r="C917" s="49"/>
      <c r="D917" s="39"/>
      <c r="E917" s="40"/>
      <c r="H917" s="49"/>
      <c r="I917" s="49"/>
      <c r="J917" s="41"/>
      <c r="K917" s="15"/>
      <c r="L917" s="15"/>
      <c r="M917" s="15"/>
      <c r="N917" s="15"/>
      <c r="P917" s="15"/>
    </row>
    <row r="918" spans="1:16" ht="12.75">
      <c r="A918" s="49"/>
      <c r="B918" s="49"/>
      <c r="C918" s="49"/>
      <c r="D918" s="39"/>
      <c r="E918" s="40"/>
      <c r="H918" s="49"/>
      <c r="I918" s="49"/>
      <c r="J918" s="41"/>
      <c r="K918" s="15"/>
      <c r="L918" s="15"/>
      <c r="M918" s="15"/>
      <c r="N918" s="15"/>
      <c r="P918" s="15"/>
    </row>
    <row r="919" spans="1:16" ht="12.75">
      <c r="A919" s="49"/>
      <c r="B919" s="49"/>
      <c r="C919" s="49"/>
      <c r="D919" s="39"/>
      <c r="E919" s="40"/>
      <c r="H919" s="49"/>
      <c r="I919" s="49"/>
      <c r="J919" s="41"/>
      <c r="K919" s="15"/>
      <c r="L919" s="15"/>
      <c r="M919" s="15"/>
      <c r="N919" s="15"/>
      <c r="P919" s="15"/>
    </row>
    <row r="920" spans="1:16" ht="12.75">
      <c r="A920" s="49"/>
      <c r="B920" s="49"/>
      <c r="C920" s="49"/>
      <c r="D920" s="39"/>
      <c r="E920" s="40"/>
      <c r="H920" s="49"/>
      <c r="I920" s="49"/>
      <c r="J920" s="41"/>
      <c r="K920" s="15"/>
      <c r="L920" s="15"/>
      <c r="M920" s="15"/>
      <c r="N920" s="15"/>
      <c r="P920" s="15"/>
    </row>
    <row r="921" spans="1:16" ht="12.75">
      <c r="A921" s="49"/>
      <c r="B921" s="49"/>
      <c r="C921" s="49"/>
      <c r="D921" s="39"/>
      <c r="E921" s="40"/>
      <c r="H921" s="49"/>
      <c r="I921" s="49"/>
      <c r="J921" s="41"/>
      <c r="K921" s="15"/>
      <c r="L921" s="15"/>
      <c r="M921" s="15"/>
      <c r="N921" s="15"/>
      <c r="P921" s="15"/>
    </row>
    <row r="922" spans="1:16" ht="12.75">
      <c r="A922" s="49"/>
      <c r="B922" s="49"/>
      <c r="C922" s="49"/>
      <c r="D922" s="39"/>
      <c r="E922" s="40"/>
      <c r="H922" s="49"/>
      <c r="I922" s="49"/>
      <c r="J922" s="41"/>
      <c r="K922" s="15"/>
      <c r="L922" s="15"/>
      <c r="M922" s="15"/>
      <c r="N922" s="15"/>
      <c r="P922" s="15"/>
    </row>
    <row r="923" spans="1:16" ht="12.75">
      <c r="A923" s="49"/>
      <c r="B923" s="49"/>
      <c r="C923" s="49"/>
      <c r="D923" s="39"/>
      <c r="E923" s="40"/>
      <c r="H923" s="49"/>
      <c r="I923" s="49"/>
      <c r="J923" s="41"/>
      <c r="K923" s="15"/>
      <c r="L923" s="15"/>
      <c r="M923" s="15"/>
      <c r="N923" s="15"/>
      <c r="P923" s="15"/>
    </row>
    <row r="924" spans="1:16" ht="12.75">
      <c r="A924" s="49"/>
      <c r="B924" s="49"/>
      <c r="C924" s="49"/>
      <c r="D924" s="39"/>
      <c r="E924" s="40"/>
      <c r="H924" s="49"/>
      <c r="I924" s="49"/>
      <c r="J924" s="41"/>
      <c r="K924" s="15"/>
      <c r="L924" s="15"/>
      <c r="M924" s="15"/>
      <c r="N924" s="15"/>
      <c r="P924" s="15"/>
    </row>
    <row r="925" spans="1:16" ht="12.75">
      <c r="A925" s="49"/>
      <c r="B925" s="49"/>
      <c r="C925" s="49"/>
      <c r="D925" s="39"/>
      <c r="E925" s="40"/>
      <c r="H925" s="49"/>
      <c r="I925" s="49"/>
      <c r="J925" s="41"/>
      <c r="K925" s="15"/>
      <c r="L925" s="15"/>
      <c r="M925" s="15"/>
      <c r="N925" s="15"/>
      <c r="P925" s="15"/>
    </row>
    <row r="926" spans="1:16" ht="12.75">
      <c r="A926" s="49"/>
      <c r="B926" s="49"/>
      <c r="C926" s="49"/>
      <c r="D926" s="39"/>
      <c r="E926" s="40"/>
      <c r="H926" s="49"/>
      <c r="I926" s="49"/>
      <c r="J926" s="41"/>
      <c r="K926" s="15"/>
      <c r="L926" s="15"/>
      <c r="M926" s="15"/>
      <c r="N926" s="15"/>
      <c r="P926" s="15"/>
    </row>
    <row r="927" spans="1:16" ht="12.75">
      <c r="A927" s="49"/>
      <c r="B927" s="49"/>
      <c r="C927" s="49"/>
      <c r="D927" s="39"/>
      <c r="E927" s="40"/>
      <c r="H927" s="49"/>
      <c r="I927" s="49"/>
      <c r="J927" s="41"/>
      <c r="K927" s="15"/>
      <c r="L927" s="15"/>
      <c r="M927" s="15"/>
      <c r="N927" s="15"/>
      <c r="P927" s="15"/>
    </row>
    <row r="928" spans="1:16" ht="12.75">
      <c r="A928" s="49"/>
      <c r="B928" s="49"/>
      <c r="C928" s="49"/>
      <c r="D928" s="39"/>
      <c r="E928" s="40"/>
      <c r="H928" s="49"/>
      <c r="I928" s="49"/>
      <c r="J928" s="41"/>
      <c r="K928" s="15"/>
      <c r="L928" s="15"/>
      <c r="M928" s="15"/>
      <c r="N928" s="15"/>
      <c r="P928" s="15"/>
    </row>
    <row r="929" spans="1:16" ht="12.75">
      <c r="A929" s="49"/>
      <c r="B929" s="49"/>
      <c r="C929" s="49"/>
      <c r="D929" s="39"/>
      <c r="E929" s="40"/>
      <c r="H929" s="49"/>
      <c r="I929" s="49"/>
      <c r="J929" s="41"/>
      <c r="K929" s="15"/>
      <c r="L929" s="15"/>
      <c r="M929" s="15"/>
      <c r="N929" s="15"/>
      <c r="P929" s="15"/>
    </row>
    <row r="930" spans="1:16" ht="12.75">
      <c r="A930" s="49"/>
      <c r="B930" s="49"/>
      <c r="C930" s="49"/>
      <c r="D930" s="39"/>
      <c r="E930" s="40"/>
      <c r="H930" s="49"/>
      <c r="I930" s="49"/>
      <c r="J930" s="41"/>
      <c r="K930" s="15"/>
      <c r="L930" s="15"/>
      <c r="M930" s="15"/>
      <c r="N930" s="15"/>
      <c r="P930" s="15"/>
    </row>
    <row r="931" spans="1:16" ht="12.75">
      <c r="A931" s="49"/>
      <c r="B931" s="49"/>
      <c r="C931" s="49"/>
      <c r="D931" s="39"/>
      <c r="E931" s="40"/>
      <c r="H931" s="49"/>
      <c r="I931" s="49"/>
      <c r="J931" s="41"/>
      <c r="K931" s="15"/>
      <c r="L931" s="15"/>
      <c r="M931" s="15"/>
      <c r="N931" s="15"/>
      <c r="P931" s="15"/>
    </row>
    <row r="932" spans="1:16" ht="12.75">
      <c r="A932" s="49"/>
      <c r="B932" s="49"/>
      <c r="C932" s="49"/>
      <c r="D932" s="39"/>
      <c r="E932" s="40"/>
      <c r="H932" s="49"/>
      <c r="I932" s="49"/>
      <c r="J932" s="41"/>
      <c r="K932" s="15"/>
      <c r="L932" s="15"/>
      <c r="M932" s="15"/>
      <c r="N932" s="15"/>
      <c r="P932" s="15"/>
    </row>
    <row r="933" spans="1:16" ht="12.75">
      <c r="A933" s="49"/>
      <c r="B933" s="49"/>
      <c r="C933" s="49"/>
      <c r="D933" s="39"/>
      <c r="E933" s="40"/>
      <c r="H933" s="49"/>
      <c r="I933" s="49"/>
      <c r="J933" s="41"/>
      <c r="K933" s="15"/>
      <c r="L933" s="15"/>
      <c r="M933" s="15"/>
      <c r="N933" s="15"/>
      <c r="P933" s="15"/>
    </row>
    <row r="934" spans="1:16" ht="12.75">
      <c r="A934" s="49"/>
      <c r="B934" s="49"/>
      <c r="C934" s="49"/>
      <c r="D934" s="39"/>
      <c r="E934" s="40"/>
      <c r="H934" s="49"/>
      <c r="I934" s="49"/>
      <c r="J934" s="41"/>
      <c r="K934" s="15"/>
      <c r="L934" s="15"/>
      <c r="M934" s="15"/>
      <c r="N934" s="15"/>
      <c r="P934" s="15"/>
    </row>
    <row r="935" spans="1:16" ht="12.75">
      <c r="A935" s="49"/>
      <c r="B935" s="49"/>
      <c r="C935" s="49"/>
      <c r="D935" s="39"/>
      <c r="E935" s="40"/>
      <c r="H935" s="49"/>
      <c r="I935" s="49"/>
      <c r="J935" s="41"/>
      <c r="K935" s="15"/>
      <c r="L935" s="15"/>
      <c r="M935" s="15"/>
      <c r="N935" s="15"/>
      <c r="P935" s="15"/>
    </row>
    <row r="936" spans="1:16" ht="12.75">
      <c r="A936" s="49"/>
      <c r="B936" s="49"/>
      <c r="C936" s="49"/>
      <c r="D936" s="39"/>
      <c r="E936" s="40"/>
      <c r="H936" s="49"/>
      <c r="I936" s="49"/>
      <c r="J936" s="41"/>
      <c r="K936" s="15"/>
      <c r="L936" s="15"/>
      <c r="M936" s="15"/>
      <c r="N936" s="15"/>
      <c r="P936" s="15"/>
    </row>
    <row r="937" spans="1:16" ht="12.75">
      <c r="A937" s="49"/>
      <c r="B937" s="49"/>
      <c r="C937" s="49"/>
      <c r="D937" s="39"/>
      <c r="E937" s="40"/>
      <c r="H937" s="49"/>
      <c r="I937" s="49"/>
      <c r="J937" s="41"/>
      <c r="K937" s="15"/>
      <c r="L937" s="15"/>
      <c r="M937" s="15"/>
      <c r="N937" s="15"/>
      <c r="P937" s="15"/>
    </row>
    <row r="938" spans="1:16" ht="12.75">
      <c r="A938" s="49"/>
      <c r="B938" s="49"/>
      <c r="C938" s="49"/>
      <c r="D938" s="39"/>
      <c r="E938" s="40"/>
      <c r="H938" s="49"/>
      <c r="I938" s="49"/>
      <c r="J938" s="41"/>
      <c r="K938" s="15"/>
      <c r="L938" s="15"/>
      <c r="M938" s="15"/>
      <c r="N938" s="15"/>
      <c r="P938" s="15"/>
    </row>
    <row r="939" spans="1:16" ht="12.75">
      <c r="A939" s="49"/>
      <c r="B939" s="49"/>
      <c r="C939" s="49"/>
      <c r="D939" s="39"/>
      <c r="E939" s="40"/>
      <c r="H939" s="49"/>
      <c r="I939" s="49"/>
      <c r="J939" s="41"/>
      <c r="K939" s="15"/>
      <c r="L939" s="15"/>
      <c r="M939" s="15"/>
      <c r="N939" s="15"/>
      <c r="P939" s="15"/>
    </row>
    <row r="940" spans="1:16" ht="12.75">
      <c r="A940" s="49"/>
      <c r="B940" s="49"/>
      <c r="C940" s="49"/>
      <c r="D940" s="39"/>
      <c r="E940" s="40"/>
      <c r="H940" s="49"/>
      <c r="I940" s="49"/>
      <c r="J940" s="41"/>
      <c r="K940" s="15"/>
      <c r="L940" s="15"/>
      <c r="M940" s="15"/>
      <c r="N940" s="15"/>
      <c r="P940" s="15"/>
    </row>
    <row r="941" spans="1:16" ht="12.75">
      <c r="A941" s="49"/>
      <c r="B941" s="49"/>
      <c r="C941" s="49"/>
      <c r="D941" s="39"/>
      <c r="E941" s="40"/>
      <c r="H941" s="49"/>
      <c r="I941" s="49"/>
      <c r="J941" s="41"/>
      <c r="K941" s="15"/>
      <c r="L941" s="15"/>
      <c r="M941" s="15"/>
      <c r="N941" s="15"/>
      <c r="P941" s="15"/>
    </row>
    <row r="942" spans="1:16" ht="12.75">
      <c r="A942" s="49"/>
      <c r="B942" s="49"/>
      <c r="C942" s="49"/>
      <c r="D942" s="39"/>
      <c r="E942" s="40"/>
      <c r="H942" s="49"/>
      <c r="I942" s="49"/>
      <c r="J942" s="41"/>
      <c r="K942" s="15"/>
      <c r="L942" s="15"/>
      <c r="M942" s="15"/>
      <c r="N942" s="15"/>
      <c r="P942" s="15"/>
    </row>
    <row r="943" spans="1:16" ht="12.75">
      <c r="A943" s="49"/>
      <c r="B943" s="49"/>
      <c r="C943" s="49"/>
      <c r="D943" s="39"/>
      <c r="E943" s="40"/>
      <c r="H943" s="49"/>
      <c r="I943" s="49"/>
      <c r="J943" s="41"/>
      <c r="K943" s="15"/>
      <c r="L943" s="15"/>
      <c r="M943" s="15"/>
      <c r="N943" s="15"/>
      <c r="P943" s="15"/>
    </row>
    <row r="944" spans="1:16" ht="12.75">
      <c r="A944" s="49"/>
      <c r="B944" s="49"/>
      <c r="C944" s="49"/>
      <c r="D944" s="39"/>
      <c r="E944" s="40"/>
      <c r="H944" s="49"/>
      <c r="I944" s="49"/>
      <c r="J944" s="41"/>
      <c r="K944" s="15"/>
      <c r="L944" s="15"/>
      <c r="M944" s="15"/>
      <c r="N944" s="15"/>
      <c r="P944" s="15"/>
    </row>
    <row r="945" spans="1:16" ht="12.75">
      <c r="A945" s="49"/>
      <c r="B945" s="49"/>
      <c r="C945" s="49"/>
      <c r="D945" s="39"/>
      <c r="E945" s="40"/>
      <c r="H945" s="49"/>
      <c r="I945" s="49"/>
      <c r="J945" s="41"/>
      <c r="K945" s="15"/>
      <c r="L945" s="15"/>
      <c r="M945" s="15"/>
      <c r="N945" s="15"/>
      <c r="P945" s="15"/>
    </row>
    <row r="946" spans="1:16" ht="12.75">
      <c r="A946" s="49"/>
      <c r="B946" s="49"/>
      <c r="C946" s="49"/>
      <c r="D946" s="39"/>
      <c r="E946" s="40"/>
      <c r="H946" s="49"/>
      <c r="I946" s="49"/>
      <c r="J946" s="41"/>
      <c r="K946" s="15"/>
      <c r="L946" s="15"/>
      <c r="M946" s="15"/>
      <c r="N946" s="15"/>
      <c r="P946" s="15"/>
    </row>
    <row r="947" spans="1:16" ht="12.75">
      <c r="A947" s="49"/>
      <c r="B947" s="49"/>
      <c r="C947" s="49"/>
      <c r="D947" s="39"/>
      <c r="E947" s="40"/>
      <c r="H947" s="49"/>
      <c r="I947" s="49"/>
      <c r="J947" s="41"/>
      <c r="K947" s="15"/>
      <c r="L947" s="15"/>
      <c r="M947" s="15"/>
      <c r="N947" s="15"/>
      <c r="P947" s="15"/>
    </row>
    <row r="948" spans="1:16" ht="12.75">
      <c r="A948" s="49"/>
      <c r="B948" s="49"/>
      <c r="C948" s="49"/>
      <c r="D948" s="39"/>
      <c r="E948" s="40"/>
      <c r="H948" s="49"/>
      <c r="I948" s="49"/>
      <c r="J948" s="41"/>
      <c r="K948" s="15"/>
      <c r="L948" s="15"/>
      <c r="M948" s="15"/>
      <c r="N948" s="15"/>
      <c r="P948" s="15"/>
    </row>
    <row r="949" spans="1:16" ht="12.75">
      <c r="A949" s="49"/>
      <c r="B949" s="49"/>
      <c r="C949" s="49"/>
      <c r="D949" s="39"/>
      <c r="E949" s="40"/>
      <c r="H949" s="49"/>
      <c r="I949" s="49"/>
      <c r="J949" s="41"/>
      <c r="K949" s="15"/>
      <c r="L949" s="15"/>
      <c r="M949" s="15"/>
      <c r="N949" s="15"/>
      <c r="P949" s="15"/>
    </row>
    <row r="950" spans="1:16" ht="12.75">
      <c r="A950" s="49"/>
      <c r="B950" s="49"/>
      <c r="C950" s="49"/>
      <c r="D950" s="39"/>
      <c r="E950" s="40"/>
      <c r="H950" s="49"/>
      <c r="I950" s="49"/>
      <c r="J950" s="41"/>
      <c r="K950" s="15"/>
      <c r="L950" s="15"/>
      <c r="M950" s="15"/>
      <c r="N950" s="15"/>
      <c r="P950" s="15"/>
    </row>
    <row r="951" spans="1:16" ht="12.75">
      <c r="A951" s="49"/>
      <c r="B951" s="49"/>
      <c r="C951" s="49"/>
      <c r="D951" s="39"/>
      <c r="E951" s="40"/>
      <c r="H951" s="49"/>
      <c r="I951" s="49"/>
      <c r="J951" s="41"/>
      <c r="K951" s="15"/>
      <c r="L951" s="15"/>
      <c r="M951" s="15"/>
      <c r="N951" s="15"/>
      <c r="P951" s="15"/>
    </row>
    <row r="952" spans="1:16" ht="12.75">
      <c r="A952" s="49"/>
      <c r="B952" s="49"/>
      <c r="C952" s="49"/>
      <c r="D952" s="39"/>
      <c r="E952" s="40"/>
      <c r="H952" s="49"/>
      <c r="I952" s="49"/>
      <c r="J952" s="41"/>
      <c r="K952" s="15"/>
      <c r="L952" s="15"/>
      <c r="M952" s="15"/>
      <c r="N952" s="15"/>
      <c r="P952" s="15"/>
    </row>
    <row r="953" spans="1:16" ht="12.75">
      <c r="A953" s="49"/>
      <c r="B953" s="49"/>
      <c r="C953" s="49"/>
      <c r="D953" s="39"/>
      <c r="E953" s="40"/>
      <c r="H953" s="49"/>
      <c r="I953" s="49"/>
      <c r="J953" s="41"/>
      <c r="K953" s="15"/>
      <c r="L953" s="15"/>
      <c r="M953" s="15"/>
      <c r="N953" s="15"/>
      <c r="P953" s="15"/>
    </row>
    <row r="954" spans="1:16" ht="12.75">
      <c r="A954" s="49"/>
      <c r="B954" s="49"/>
      <c r="C954" s="49"/>
      <c r="D954" s="39"/>
      <c r="E954" s="40"/>
      <c r="H954" s="49"/>
      <c r="I954" s="49"/>
      <c r="J954" s="41"/>
      <c r="K954" s="15"/>
      <c r="L954" s="15"/>
      <c r="M954" s="15"/>
      <c r="N954" s="15"/>
      <c r="P954" s="15"/>
    </row>
    <row r="955" spans="1:16" ht="12.75">
      <c r="A955" s="49"/>
      <c r="B955" s="49"/>
      <c r="C955" s="49"/>
      <c r="D955" s="39"/>
      <c r="E955" s="40"/>
      <c r="H955" s="49"/>
      <c r="I955" s="49"/>
      <c r="J955" s="41"/>
      <c r="K955" s="15"/>
      <c r="L955" s="15"/>
      <c r="M955" s="15"/>
      <c r="N955" s="15"/>
      <c r="P955" s="15"/>
    </row>
    <row r="956" spans="1:16" ht="12.75">
      <c r="A956" s="49"/>
      <c r="B956" s="49"/>
      <c r="C956" s="49"/>
      <c r="D956" s="39"/>
      <c r="E956" s="40"/>
      <c r="H956" s="49"/>
      <c r="I956" s="49"/>
      <c r="J956" s="41"/>
      <c r="K956" s="15"/>
      <c r="L956" s="15"/>
      <c r="M956" s="15"/>
      <c r="N956" s="15"/>
      <c r="P956" s="15"/>
    </row>
    <row r="957" spans="1:16" ht="12.75">
      <c r="A957" s="49"/>
      <c r="B957" s="49"/>
      <c r="C957" s="49"/>
      <c r="D957" s="39"/>
      <c r="E957" s="40"/>
      <c r="H957" s="49"/>
      <c r="I957" s="49"/>
      <c r="J957" s="41"/>
      <c r="K957" s="15"/>
      <c r="L957" s="15"/>
      <c r="M957" s="15"/>
      <c r="N957" s="15"/>
      <c r="P957" s="15"/>
    </row>
    <row r="958" spans="1:16" ht="12.75">
      <c r="A958" s="49"/>
      <c r="B958" s="49"/>
      <c r="C958" s="49"/>
      <c r="D958" s="39"/>
      <c r="E958" s="40"/>
      <c r="H958" s="49"/>
      <c r="I958" s="49"/>
      <c r="J958" s="41"/>
      <c r="K958" s="15"/>
      <c r="L958" s="15"/>
      <c r="M958" s="15"/>
      <c r="N958" s="15"/>
      <c r="P958" s="15"/>
    </row>
    <row r="959" spans="1:16" ht="12.75">
      <c r="A959" s="49"/>
      <c r="B959" s="49"/>
      <c r="C959" s="49"/>
      <c r="D959" s="39"/>
      <c r="E959" s="40"/>
      <c r="H959" s="49"/>
      <c r="I959" s="49"/>
      <c r="J959" s="41"/>
      <c r="K959" s="15"/>
      <c r="L959" s="15"/>
      <c r="M959" s="15"/>
      <c r="N959" s="15"/>
      <c r="P959" s="15"/>
    </row>
    <row r="960" spans="1:16" ht="12.75">
      <c r="A960" s="49"/>
      <c r="B960" s="49"/>
      <c r="C960" s="49"/>
      <c r="D960" s="39"/>
      <c r="E960" s="40"/>
      <c r="H960" s="49"/>
      <c r="I960" s="49"/>
      <c r="J960" s="41"/>
      <c r="K960" s="15"/>
      <c r="L960" s="15"/>
      <c r="M960" s="15"/>
      <c r="N960" s="15"/>
      <c r="P960" s="15"/>
    </row>
    <row r="961" spans="1:16" ht="12.75">
      <c r="A961" s="49"/>
      <c r="B961" s="49"/>
      <c r="C961" s="49"/>
      <c r="D961" s="39"/>
      <c r="E961" s="40"/>
      <c r="H961" s="49"/>
      <c r="I961" s="49"/>
      <c r="J961" s="41"/>
      <c r="K961" s="15"/>
      <c r="L961" s="15"/>
      <c r="M961" s="15"/>
      <c r="N961" s="15"/>
      <c r="P961" s="15"/>
    </row>
    <row r="962" spans="1:16" ht="12.75">
      <c r="A962" s="49"/>
      <c r="B962" s="49"/>
      <c r="C962" s="49"/>
      <c r="D962" s="39"/>
      <c r="E962" s="40"/>
      <c r="H962" s="49"/>
      <c r="I962" s="49"/>
      <c r="J962" s="41"/>
      <c r="K962" s="15"/>
      <c r="L962" s="15"/>
      <c r="M962" s="15"/>
      <c r="N962" s="15"/>
      <c r="P962" s="15"/>
    </row>
    <row r="963" spans="1:16" ht="12.75">
      <c r="A963" s="49"/>
      <c r="B963" s="49"/>
      <c r="C963" s="49"/>
      <c r="D963" s="39"/>
      <c r="E963" s="40"/>
      <c r="H963" s="49"/>
      <c r="I963" s="49"/>
      <c r="J963" s="41"/>
      <c r="K963" s="15"/>
      <c r="L963" s="15"/>
      <c r="M963" s="15"/>
      <c r="N963" s="15"/>
      <c r="P963" s="15"/>
    </row>
    <row r="964" spans="1:16" ht="12.75">
      <c r="A964" s="49"/>
      <c r="B964" s="49"/>
      <c r="C964" s="49"/>
      <c r="D964" s="39"/>
      <c r="E964" s="40"/>
      <c r="H964" s="49"/>
      <c r="I964" s="49"/>
      <c r="J964" s="41"/>
      <c r="K964" s="15"/>
      <c r="L964" s="15"/>
      <c r="M964" s="15"/>
      <c r="N964" s="15"/>
      <c r="P964" s="15"/>
    </row>
    <row r="965" spans="1:16" ht="12.75">
      <c r="A965" s="49"/>
      <c r="B965" s="49"/>
      <c r="C965" s="49"/>
      <c r="D965" s="39"/>
      <c r="E965" s="40"/>
      <c r="H965" s="49"/>
      <c r="I965" s="49"/>
      <c r="J965" s="41"/>
      <c r="K965" s="15"/>
      <c r="L965" s="15"/>
      <c r="M965" s="15"/>
      <c r="N965" s="15"/>
      <c r="P965" s="15"/>
    </row>
    <row r="966" spans="1:16" ht="12.75">
      <c r="A966" s="49"/>
      <c r="B966" s="49"/>
      <c r="C966" s="49"/>
      <c r="D966" s="39"/>
      <c r="E966" s="40"/>
      <c r="H966" s="49"/>
      <c r="I966" s="49"/>
      <c r="J966" s="41"/>
      <c r="K966" s="15"/>
      <c r="L966" s="15"/>
      <c r="M966" s="15"/>
      <c r="N966" s="15"/>
      <c r="P966" s="15"/>
    </row>
    <row r="967" spans="1:16" ht="12.75">
      <c r="A967" s="49"/>
      <c r="B967" s="49"/>
      <c r="C967" s="49"/>
      <c r="D967" s="39"/>
      <c r="E967" s="40"/>
      <c r="H967" s="49"/>
      <c r="I967" s="49"/>
      <c r="J967" s="41"/>
      <c r="K967" s="15"/>
      <c r="L967" s="15"/>
      <c r="M967" s="15"/>
      <c r="N967" s="15"/>
      <c r="P967" s="15"/>
    </row>
    <row r="968" spans="1:16" ht="12.75">
      <c r="A968" s="49"/>
      <c r="B968" s="49"/>
      <c r="C968" s="49"/>
      <c r="D968" s="39"/>
      <c r="E968" s="40"/>
      <c r="H968" s="49"/>
      <c r="I968" s="49"/>
      <c r="J968" s="41"/>
      <c r="K968" s="15"/>
      <c r="L968" s="15"/>
      <c r="M968" s="15"/>
      <c r="N968" s="15"/>
      <c r="P968" s="15"/>
    </row>
    <row r="969" spans="1:16" ht="12.75">
      <c r="A969" s="49"/>
      <c r="B969" s="49"/>
      <c r="C969" s="49"/>
      <c r="D969" s="39"/>
      <c r="E969" s="40"/>
      <c r="H969" s="49"/>
      <c r="I969" s="49"/>
      <c r="J969" s="41"/>
      <c r="K969" s="15"/>
      <c r="L969" s="15"/>
      <c r="M969" s="15"/>
      <c r="N969" s="15"/>
      <c r="P969" s="15"/>
    </row>
    <row r="970" spans="1:16" ht="12.75">
      <c r="A970" s="49"/>
      <c r="B970" s="49"/>
      <c r="C970" s="49"/>
      <c r="D970" s="39"/>
      <c r="E970" s="40"/>
      <c r="H970" s="49"/>
      <c r="I970" s="49"/>
      <c r="J970" s="41"/>
      <c r="K970" s="15"/>
      <c r="L970" s="15"/>
      <c r="M970" s="15"/>
      <c r="N970" s="15"/>
      <c r="P970" s="15"/>
    </row>
    <row r="971" spans="1:16" ht="12.75">
      <c r="A971" s="49"/>
      <c r="B971" s="49"/>
      <c r="C971" s="49"/>
      <c r="D971" s="39"/>
      <c r="E971" s="40"/>
      <c r="H971" s="49"/>
      <c r="I971" s="49"/>
      <c r="J971" s="41"/>
      <c r="K971" s="15"/>
      <c r="L971" s="15"/>
      <c r="M971" s="15"/>
      <c r="N971" s="15"/>
      <c r="P971" s="15"/>
    </row>
    <row r="972" spans="1:16" ht="12.75">
      <c r="A972" s="49"/>
      <c r="B972" s="49"/>
      <c r="C972" s="49"/>
      <c r="D972" s="39"/>
      <c r="E972" s="40"/>
      <c r="H972" s="49"/>
      <c r="I972" s="49"/>
      <c r="J972" s="41"/>
      <c r="K972" s="15"/>
      <c r="L972" s="15"/>
      <c r="M972" s="15"/>
      <c r="N972" s="15"/>
      <c r="P972" s="15"/>
    </row>
    <row r="973" spans="1:16" ht="12.75">
      <c r="A973" s="49"/>
      <c r="B973" s="49"/>
      <c r="C973" s="49"/>
      <c r="D973" s="39"/>
      <c r="E973" s="40"/>
      <c r="H973" s="49"/>
      <c r="I973" s="49"/>
      <c r="J973" s="41"/>
      <c r="K973" s="15"/>
      <c r="L973" s="15"/>
      <c r="M973" s="15"/>
      <c r="N973" s="15"/>
      <c r="P973" s="15"/>
    </row>
    <row r="974" spans="1:16" ht="12.75">
      <c r="A974" s="49"/>
      <c r="B974" s="49"/>
      <c r="C974" s="49"/>
      <c r="D974" s="39"/>
      <c r="E974" s="40"/>
      <c r="H974" s="49"/>
      <c r="I974" s="49"/>
      <c r="J974" s="41"/>
      <c r="K974" s="15"/>
      <c r="L974" s="15"/>
      <c r="M974" s="15"/>
      <c r="N974" s="15"/>
      <c r="P974" s="15"/>
    </row>
    <row r="975" spans="1:16" ht="12.75">
      <c r="A975" s="49"/>
      <c r="B975" s="49"/>
      <c r="C975" s="49"/>
      <c r="D975" s="39"/>
      <c r="E975" s="40"/>
      <c r="H975" s="49"/>
      <c r="I975" s="49"/>
      <c r="J975" s="41"/>
      <c r="K975" s="15"/>
      <c r="L975" s="15"/>
      <c r="M975" s="15"/>
      <c r="N975" s="15"/>
      <c r="P975" s="15"/>
    </row>
    <row r="976" spans="1:16" ht="12.75">
      <c r="A976" s="49"/>
      <c r="B976" s="49"/>
      <c r="C976" s="49"/>
      <c r="D976" s="39"/>
      <c r="E976" s="40"/>
      <c r="H976" s="49"/>
      <c r="I976" s="49"/>
      <c r="J976" s="41"/>
      <c r="K976" s="15"/>
      <c r="L976" s="15"/>
      <c r="M976" s="15"/>
      <c r="N976" s="15"/>
      <c r="P976" s="15"/>
    </row>
    <row r="977" spans="1:16" ht="12.75">
      <c r="A977" s="49"/>
      <c r="B977" s="49"/>
      <c r="C977" s="49"/>
      <c r="D977" s="39"/>
      <c r="E977" s="40"/>
      <c r="H977" s="49"/>
      <c r="I977" s="49"/>
      <c r="J977" s="41"/>
      <c r="K977" s="15"/>
      <c r="L977" s="15"/>
      <c r="M977" s="15"/>
      <c r="N977" s="15"/>
      <c r="P977" s="15"/>
    </row>
    <row r="978" spans="1:16" ht="12.75">
      <c r="A978" s="49"/>
      <c r="B978" s="49"/>
      <c r="C978" s="49"/>
      <c r="D978" s="39"/>
      <c r="E978" s="40"/>
      <c r="H978" s="49"/>
      <c r="I978" s="49"/>
      <c r="J978" s="41"/>
      <c r="K978" s="15"/>
      <c r="L978" s="15"/>
      <c r="M978" s="15"/>
      <c r="N978" s="15"/>
      <c r="P978" s="15"/>
    </row>
    <row r="979" spans="1:16" ht="12.75">
      <c r="A979" s="49"/>
      <c r="B979" s="49"/>
      <c r="C979" s="49"/>
      <c r="D979" s="39"/>
      <c r="E979" s="40"/>
      <c r="H979" s="49"/>
      <c r="I979" s="49"/>
      <c r="J979" s="41"/>
      <c r="K979" s="15"/>
      <c r="L979" s="15"/>
      <c r="M979" s="15"/>
      <c r="N979" s="15"/>
      <c r="P979" s="15"/>
    </row>
    <row r="980" spans="1:16" ht="12.75">
      <c r="A980" s="49"/>
      <c r="B980" s="49"/>
      <c r="C980" s="49"/>
      <c r="D980" s="39"/>
      <c r="E980" s="40"/>
      <c r="H980" s="49"/>
      <c r="I980" s="49"/>
      <c r="J980" s="41"/>
      <c r="K980" s="15"/>
      <c r="L980" s="15"/>
      <c r="M980" s="15"/>
      <c r="N980" s="15"/>
      <c r="P980" s="15"/>
    </row>
    <row r="981" spans="1:16" ht="12.75">
      <c r="A981" s="49"/>
      <c r="B981" s="49"/>
      <c r="C981" s="49"/>
      <c r="D981" s="39"/>
      <c r="E981" s="40"/>
      <c r="H981" s="49"/>
      <c r="I981" s="49"/>
      <c r="J981" s="41"/>
      <c r="K981" s="15"/>
      <c r="L981" s="15"/>
      <c r="M981" s="15"/>
      <c r="N981" s="15"/>
      <c r="P981" s="15"/>
    </row>
    <row r="982" spans="1:16" ht="12.75">
      <c r="A982" s="49"/>
      <c r="B982" s="49"/>
      <c r="C982" s="49"/>
      <c r="D982" s="39"/>
      <c r="E982" s="40"/>
      <c r="H982" s="49"/>
      <c r="I982" s="49"/>
      <c r="J982" s="41"/>
      <c r="K982" s="15"/>
      <c r="L982" s="15"/>
      <c r="M982" s="15"/>
      <c r="N982" s="15"/>
      <c r="P982" s="15"/>
    </row>
    <row r="983" spans="1:16" ht="12.75">
      <c r="A983" s="49"/>
      <c r="B983" s="49"/>
      <c r="C983" s="49"/>
      <c r="D983" s="39"/>
      <c r="E983" s="40"/>
      <c r="H983" s="49"/>
      <c r="I983" s="49"/>
      <c r="J983" s="41"/>
      <c r="K983" s="15"/>
      <c r="L983" s="15"/>
      <c r="M983" s="15"/>
      <c r="N983" s="15"/>
      <c r="P983" s="15"/>
    </row>
    <row r="984" spans="1:16" ht="12.75">
      <c r="A984" s="49"/>
      <c r="B984" s="49"/>
      <c r="C984" s="49"/>
      <c r="D984" s="39"/>
      <c r="E984" s="40"/>
      <c r="H984" s="49"/>
      <c r="I984" s="49"/>
      <c r="J984" s="41"/>
      <c r="K984" s="15"/>
      <c r="L984" s="15"/>
      <c r="M984" s="15"/>
      <c r="N984" s="15"/>
      <c r="P984" s="15"/>
    </row>
    <row r="985" spans="1:16" ht="12.75">
      <c r="A985" s="49"/>
      <c r="B985" s="49"/>
      <c r="C985" s="49"/>
      <c r="D985" s="39"/>
      <c r="E985" s="40"/>
      <c r="H985" s="49"/>
      <c r="I985" s="49"/>
      <c r="J985" s="41"/>
      <c r="K985" s="15"/>
      <c r="L985" s="15"/>
      <c r="M985" s="15"/>
      <c r="N985" s="15"/>
      <c r="P985" s="15"/>
    </row>
    <row r="986" spans="1:16" ht="12.75">
      <c r="A986" s="49"/>
      <c r="B986" s="49"/>
      <c r="C986" s="49"/>
      <c r="D986" s="39"/>
      <c r="E986" s="40"/>
      <c r="H986" s="49"/>
      <c r="I986" s="49"/>
      <c r="J986" s="41"/>
      <c r="K986" s="15"/>
      <c r="L986" s="15"/>
      <c r="M986" s="15"/>
      <c r="N986" s="15"/>
      <c r="P986" s="15"/>
    </row>
    <row r="987" spans="1:16" ht="12.75">
      <c r="A987" s="49"/>
      <c r="B987" s="49"/>
      <c r="C987" s="49"/>
      <c r="D987" s="39"/>
      <c r="E987" s="40"/>
      <c r="H987" s="49"/>
      <c r="I987" s="49"/>
      <c r="J987" s="41"/>
      <c r="K987" s="15"/>
      <c r="L987" s="15"/>
      <c r="M987" s="15"/>
      <c r="N987" s="15"/>
      <c r="P987" s="15"/>
    </row>
    <row r="988" spans="1:16" ht="12.75">
      <c r="A988" s="49"/>
      <c r="B988" s="49"/>
      <c r="C988" s="49"/>
      <c r="D988" s="39"/>
      <c r="E988" s="40"/>
      <c r="H988" s="49"/>
      <c r="I988" s="49"/>
      <c r="J988" s="41"/>
      <c r="K988" s="15"/>
      <c r="L988" s="15"/>
      <c r="M988" s="15"/>
      <c r="N988" s="15"/>
      <c r="P988" s="15"/>
    </row>
    <row r="989" spans="1:16" ht="12.75">
      <c r="A989" s="49"/>
      <c r="B989" s="49"/>
      <c r="C989" s="49"/>
      <c r="D989" s="39"/>
      <c r="E989" s="40"/>
      <c r="H989" s="49"/>
      <c r="I989" s="49"/>
      <c r="J989" s="41"/>
      <c r="K989" s="15"/>
      <c r="L989" s="15"/>
      <c r="M989" s="15"/>
      <c r="N989" s="15"/>
      <c r="P989" s="15"/>
    </row>
    <row r="990" spans="1:16" ht="12.75">
      <c r="A990" s="49"/>
      <c r="B990" s="49"/>
      <c r="C990" s="49"/>
      <c r="D990" s="39"/>
      <c r="E990" s="40"/>
      <c r="H990" s="49"/>
      <c r="I990" s="49"/>
      <c r="J990" s="41"/>
      <c r="K990" s="15"/>
      <c r="L990" s="15"/>
      <c r="M990" s="15"/>
      <c r="N990" s="15"/>
      <c r="P990" s="15"/>
    </row>
    <row r="991" spans="1:16" ht="12.75">
      <c r="A991" s="49"/>
      <c r="B991" s="49"/>
      <c r="C991" s="49"/>
      <c r="D991" s="39"/>
      <c r="E991" s="40"/>
      <c r="H991" s="49"/>
      <c r="I991" s="49"/>
      <c r="J991" s="41"/>
      <c r="K991" s="15"/>
      <c r="L991" s="15"/>
      <c r="M991" s="15"/>
      <c r="N991" s="15"/>
      <c r="P991" s="15"/>
    </row>
    <row r="992" spans="1:16" ht="12.75">
      <c r="A992" s="49"/>
      <c r="B992" s="49"/>
      <c r="C992" s="49"/>
      <c r="D992" s="39"/>
      <c r="E992" s="40"/>
      <c r="H992" s="49"/>
      <c r="I992" s="49"/>
      <c r="J992" s="41"/>
      <c r="K992" s="15"/>
      <c r="L992" s="15"/>
      <c r="M992" s="15"/>
      <c r="N992" s="15"/>
      <c r="P992" s="15"/>
    </row>
    <row r="993" spans="1:16" ht="12.75">
      <c r="A993" s="49"/>
      <c r="B993" s="49"/>
      <c r="C993" s="49"/>
      <c r="D993" s="39"/>
      <c r="E993" s="40"/>
      <c r="H993" s="49"/>
      <c r="I993" s="49"/>
      <c r="J993" s="41"/>
      <c r="K993" s="15"/>
      <c r="L993" s="15"/>
      <c r="M993" s="15"/>
      <c r="N993" s="15"/>
      <c r="P993" s="15"/>
    </row>
    <row r="994" spans="1:16" ht="12.75">
      <c r="A994" s="49"/>
      <c r="B994" s="49"/>
      <c r="C994" s="49"/>
      <c r="D994" s="39"/>
      <c r="E994" s="40"/>
      <c r="H994" s="49"/>
      <c r="I994" s="49"/>
      <c r="J994" s="41"/>
      <c r="K994" s="15"/>
      <c r="L994" s="15"/>
      <c r="M994" s="15"/>
      <c r="N994" s="15"/>
      <c r="P994" s="15"/>
    </row>
    <row r="995" spans="1:16" ht="12.75">
      <c r="A995" s="49"/>
      <c r="B995" s="49"/>
      <c r="C995" s="49"/>
      <c r="D995" s="39"/>
      <c r="E995" s="40"/>
      <c r="H995" s="49"/>
      <c r="I995" s="49"/>
      <c r="J995" s="41"/>
      <c r="K995" s="15"/>
      <c r="L995" s="15"/>
      <c r="M995" s="15"/>
      <c r="N995" s="15"/>
      <c r="P995" s="15"/>
    </row>
    <row r="996" spans="1:16" ht="12.75">
      <c r="A996" s="49"/>
      <c r="B996" s="49"/>
      <c r="C996" s="49"/>
      <c r="D996" s="39"/>
      <c r="E996" s="40"/>
      <c r="H996" s="49"/>
      <c r="I996" s="49"/>
      <c r="J996" s="41"/>
      <c r="K996" s="15"/>
      <c r="L996" s="15"/>
      <c r="M996" s="15"/>
      <c r="N996" s="15"/>
      <c r="P996" s="15"/>
    </row>
    <row r="997" spans="1:16" ht="12.75">
      <c r="A997" s="49"/>
      <c r="B997" s="49"/>
      <c r="C997" s="49"/>
      <c r="D997" s="39"/>
      <c r="E997" s="40"/>
      <c r="H997" s="49"/>
      <c r="I997" s="49"/>
      <c r="J997" s="41"/>
      <c r="K997" s="15"/>
      <c r="L997" s="15"/>
      <c r="M997" s="15"/>
      <c r="N997" s="15"/>
      <c r="P997" s="15"/>
    </row>
    <row r="998" spans="1:16" ht="12.75">
      <c r="A998" s="49"/>
      <c r="B998" s="49"/>
      <c r="C998" s="49"/>
      <c r="D998" s="39"/>
      <c r="E998" s="40"/>
      <c r="H998" s="49"/>
      <c r="I998" s="49"/>
      <c r="J998" s="41"/>
      <c r="K998" s="15"/>
      <c r="L998" s="15"/>
      <c r="M998" s="15"/>
      <c r="N998" s="15"/>
      <c r="P998" s="15"/>
    </row>
    <row r="999" spans="1:16" ht="12.75">
      <c r="A999" s="49"/>
      <c r="B999" s="49"/>
      <c r="C999" s="49"/>
      <c r="D999" s="39"/>
      <c r="E999" s="40"/>
      <c r="H999" s="49"/>
      <c r="I999" s="49"/>
      <c r="J999" s="41"/>
      <c r="K999" s="15"/>
      <c r="L999" s="15"/>
      <c r="M999" s="15"/>
      <c r="N999" s="15"/>
      <c r="P999" s="15"/>
    </row>
    <row r="1000" spans="1:16" ht="12.75">
      <c r="A1000" s="49"/>
      <c r="B1000" s="49"/>
      <c r="C1000" s="49"/>
      <c r="D1000" s="39"/>
      <c r="E1000" s="40"/>
      <c r="H1000" s="49"/>
      <c r="I1000" s="49"/>
      <c r="J1000" s="41"/>
      <c r="K1000" s="15"/>
      <c r="L1000" s="15"/>
      <c r="M1000" s="15"/>
      <c r="N1000" s="15"/>
      <c r="P1000" s="15"/>
    </row>
    <row r="1001" spans="1:16" ht="12.75">
      <c r="A1001" s="49"/>
      <c r="B1001" s="49"/>
      <c r="C1001" s="49"/>
      <c r="D1001" s="39"/>
      <c r="E1001" s="40"/>
      <c r="H1001" s="49"/>
      <c r="I1001" s="49"/>
      <c r="J1001" s="41"/>
      <c r="K1001" s="15"/>
      <c r="L1001" s="15"/>
      <c r="M1001" s="15"/>
      <c r="N1001" s="15"/>
      <c r="P1001" s="15"/>
    </row>
    <row r="1002" spans="1:16" ht="12.75">
      <c r="A1002" s="49"/>
      <c r="B1002" s="49"/>
      <c r="C1002" s="49"/>
      <c r="D1002" s="39"/>
      <c r="E1002" s="40"/>
      <c r="H1002" s="49"/>
      <c r="I1002" s="49"/>
      <c r="J1002" s="41"/>
      <c r="K1002" s="15"/>
      <c r="L1002" s="15"/>
      <c r="M1002" s="15"/>
      <c r="N1002" s="15"/>
      <c r="P1002" s="15"/>
    </row>
    <row r="1003" spans="1:16" ht="12.75">
      <c r="A1003" s="49"/>
      <c r="B1003" s="49"/>
      <c r="C1003" s="49"/>
      <c r="D1003" s="39"/>
      <c r="E1003" s="40"/>
      <c r="H1003" s="49"/>
      <c r="I1003" s="49"/>
      <c r="J1003" s="41"/>
      <c r="K1003" s="15"/>
      <c r="L1003" s="15"/>
      <c r="M1003" s="15"/>
      <c r="N1003" s="15"/>
      <c r="P1003" s="15"/>
    </row>
    <row r="1004" spans="1:16" ht="12.75">
      <c r="A1004" s="49"/>
      <c r="B1004" s="49"/>
      <c r="C1004" s="49"/>
      <c r="D1004" s="39"/>
      <c r="E1004" s="40"/>
      <c r="H1004" s="49"/>
      <c r="I1004" s="49"/>
      <c r="J1004" s="41"/>
      <c r="K1004" s="15"/>
      <c r="L1004" s="15"/>
      <c r="M1004" s="15"/>
      <c r="N1004" s="15"/>
      <c r="P1004" s="15"/>
    </row>
    <row r="1005" spans="1:16" ht="12.75">
      <c r="A1005" s="49"/>
      <c r="B1005" s="49"/>
      <c r="C1005" s="49"/>
      <c r="D1005" s="39"/>
      <c r="E1005" s="40"/>
      <c r="H1005" s="49"/>
      <c r="I1005" s="49"/>
      <c r="J1005" s="41"/>
      <c r="K1005" s="15"/>
      <c r="L1005" s="15"/>
      <c r="M1005" s="15"/>
      <c r="N1005" s="15"/>
      <c r="P1005" s="15"/>
    </row>
    <row r="1006" spans="1:16" ht="12.75">
      <c r="A1006" s="49"/>
      <c r="B1006" s="49"/>
      <c r="C1006" s="49"/>
      <c r="D1006" s="39"/>
      <c r="E1006" s="40"/>
      <c r="H1006" s="49"/>
      <c r="I1006" s="49"/>
      <c r="J1006" s="41"/>
      <c r="K1006" s="15"/>
      <c r="L1006" s="15"/>
      <c r="M1006" s="15"/>
      <c r="N1006" s="15"/>
      <c r="P1006" s="15"/>
    </row>
    <row r="1007" spans="1:16" ht="12.75">
      <c r="A1007" s="49"/>
      <c r="B1007" s="49"/>
      <c r="C1007" s="49"/>
      <c r="D1007" s="39"/>
      <c r="E1007" s="40"/>
      <c r="H1007" s="49"/>
      <c r="I1007" s="49"/>
      <c r="J1007" s="41"/>
      <c r="K1007" s="15"/>
      <c r="L1007" s="15"/>
      <c r="M1007" s="15"/>
      <c r="N1007" s="15"/>
      <c r="P1007" s="15"/>
    </row>
    <row r="1008" spans="1:16" ht="12.75">
      <c r="A1008" s="49"/>
      <c r="B1008" s="49"/>
      <c r="C1008" s="49"/>
      <c r="D1008" s="39"/>
      <c r="E1008" s="40"/>
      <c r="H1008" s="49"/>
      <c r="I1008" s="49"/>
      <c r="J1008" s="41"/>
      <c r="K1008" s="15"/>
      <c r="L1008" s="15"/>
      <c r="M1008" s="15"/>
      <c r="N1008" s="15"/>
      <c r="P1008" s="15"/>
    </row>
    <row r="1009" spans="1:16" ht="12.75">
      <c r="A1009" s="49"/>
      <c r="B1009" s="49"/>
      <c r="C1009" s="49"/>
      <c r="D1009" s="39"/>
      <c r="E1009" s="40"/>
      <c r="H1009" s="49"/>
      <c r="I1009" s="49"/>
      <c r="J1009" s="41"/>
      <c r="K1009" s="15"/>
      <c r="L1009" s="15"/>
      <c r="M1009" s="15"/>
      <c r="N1009" s="15"/>
      <c r="P1009" s="15"/>
    </row>
    <row r="1010" spans="1:16" ht="12.75">
      <c r="A1010" s="49"/>
      <c r="B1010" s="49"/>
      <c r="C1010" s="49"/>
      <c r="D1010" s="39"/>
      <c r="E1010" s="40"/>
      <c r="H1010" s="49"/>
      <c r="I1010" s="49"/>
      <c r="J1010" s="41"/>
      <c r="K1010" s="15"/>
      <c r="L1010" s="15"/>
      <c r="M1010" s="15"/>
      <c r="N1010" s="15"/>
      <c r="P1010" s="15"/>
    </row>
    <row r="1011" spans="1:16" ht="12.75">
      <c r="A1011" s="49"/>
      <c r="B1011" s="49"/>
      <c r="C1011" s="49"/>
      <c r="D1011" s="39"/>
      <c r="E1011" s="40"/>
      <c r="H1011" s="49"/>
      <c r="I1011" s="49"/>
      <c r="J1011" s="41"/>
      <c r="K1011" s="15"/>
      <c r="L1011" s="15"/>
      <c r="M1011" s="15"/>
      <c r="N1011" s="15"/>
      <c r="P1011" s="15"/>
    </row>
    <row r="1012" spans="1:16" ht="12.75">
      <c r="A1012" s="49"/>
      <c r="B1012" s="49"/>
      <c r="C1012" s="49"/>
      <c r="D1012" s="39"/>
      <c r="E1012" s="40"/>
      <c r="H1012" s="49"/>
      <c r="I1012" s="49"/>
      <c r="J1012" s="41"/>
      <c r="K1012" s="15"/>
      <c r="L1012" s="15"/>
      <c r="M1012" s="15"/>
      <c r="N1012" s="15"/>
      <c r="P1012" s="15"/>
    </row>
    <row r="1013" spans="1:16" ht="12.75">
      <c r="A1013" s="49"/>
      <c r="B1013" s="49"/>
      <c r="C1013" s="49"/>
      <c r="D1013" s="39"/>
      <c r="E1013" s="40"/>
      <c r="H1013" s="49"/>
      <c r="I1013" s="49"/>
      <c r="J1013" s="41"/>
      <c r="K1013" s="15"/>
      <c r="L1013" s="15"/>
      <c r="M1013" s="15"/>
      <c r="N1013" s="15"/>
      <c r="P1013" s="15"/>
    </row>
    <row r="1014" spans="1:16" ht="12.75">
      <c r="A1014" s="49"/>
      <c r="B1014" s="49"/>
      <c r="C1014" s="49"/>
      <c r="D1014" s="39"/>
      <c r="E1014" s="40"/>
      <c r="H1014" s="49"/>
      <c r="I1014" s="49"/>
      <c r="J1014" s="41"/>
      <c r="K1014" s="15"/>
      <c r="L1014" s="15"/>
      <c r="M1014" s="15"/>
      <c r="N1014" s="15"/>
      <c r="P1014" s="15"/>
    </row>
    <row r="1015" spans="1:16" ht="12.75">
      <c r="A1015" s="49"/>
      <c r="B1015" s="49"/>
      <c r="C1015" s="49"/>
      <c r="D1015" s="39"/>
      <c r="E1015" s="40"/>
      <c r="H1015" s="49"/>
      <c r="I1015" s="49"/>
      <c r="J1015" s="41"/>
      <c r="K1015" s="15"/>
      <c r="L1015" s="15"/>
      <c r="M1015" s="15"/>
      <c r="N1015" s="15"/>
      <c r="P1015" s="15"/>
    </row>
    <row r="1016" spans="1:16" ht="12.75">
      <c r="A1016" s="49"/>
      <c r="B1016" s="49"/>
      <c r="C1016" s="49"/>
      <c r="D1016" s="39"/>
      <c r="E1016" s="40"/>
      <c r="H1016" s="49"/>
      <c r="I1016" s="49"/>
      <c r="J1016" s="41"/>
      <c r="K1016" s="15"/>
      <c r="L1016" s="15"/>
      <c r="M1016" s="15"/>
      <c r="N1016" s="15"/>
      <c r="P1016" s="15"/>
    </row>
    <row r="1017" spans="1:16" ht="12.75">
      <c r="A1017" s="49"/>
      <c r="B1017" s="49"/>
      <c r="C1017" s="49"/>
      <c r="D1017" s="39"/>
      <c r="E1017" s="40"/>
      <c r="H1017" s="49"/>
      <c r="I1017" s="49"/>
      <c r="J1017" s="41"/>
      <c r="K1017" s="15"/>
      <c r="L1017" s="15"/>
      <c r="M1017" s="15"/>
      <c r="N1017" s="15"/>
      <c r="P1017" s="15"/>
    </row>
    <row r="1018" spans="1:16" ht="12.75">
      <c r="A1018" s="49"/>
      <c r="B1018" s="49"/>
      <c r="C1018" s="49"/>
      <c r="D1018" s="39"/>
      <c r="E1018" s="40"/>
      <c r="H1018" s="49"/>
      <c r="I1018" s="49"/>
      <c r="J1018" s="41"/>
      <c r="K1018" s="15"/>
      <c r="L1018" s="15"/>
      <c r="M1018" s="15"/>
      <c r="N1018" s="15"/>
      <c r="P1018" s="15"/>
    </row>
    <row r="1019" spans="1:16" ht="12.75">
      <c r="A1019" s="49"/>
      <c r="B1019" s="49"/>
      <c r="C1019" s="49"/>
      <c r="D1019" s="39"/>
      <c r="E1019" s="40"/>
      <c r="H1019" s="49"/>
      <c r="I1019" s="49"/>
      <c r="J1019" s="41"/>
      <c r="K1019" s="15"/>
      <c r="L1019" s="15"/>
      <c r="M1019" s="15"/>
      <c r="N1019" s="15"/>
      <c r="P1019" s="15"/>
    </row>
    <row r="1020" spans="1:16" ht="12.75">
      <c r="A1020" s="49"/>
      <c r="B1020" s="49"/>
      <c r="C1020" s="49"/>
      <c r="D1020" s="39"/>
      <c r="E1020" s="40"/>
      <c r="H1020" s="49"/>
      <c r="I1020" s="49"/>
      <c r="J1020" s="41"/>
      <c r="K1020" s="15"/>
      <c r="L1020" s="15"/>
      <c r="M1020" s="15"/>
      <c r="N1020" s="15"/>
      <c r="P1020" s="15"/>
    </row>
    <row r="1021" spans="1:16" ht="12.75">
      <c r="A1021" s="49"/>
      <c r="B1021" s="49"/>
      <c r="C1021" s="49"/>
      <c r="D1021" s="39"/>
      <c r="E1021" s="40"/>
      <c r="H1021" s="49"/>
      <c r="I1021" s="49"/>
      <c r="J1021" s="41"/>
      <c r="K1021" s="15"/>
      <c r="L1021" s="15"/>
      <c r="M1021" s="15"/>
      <c r="N1021" s="15"/>
      <c r="P1021" s="15"/>
    </row>
    <row r="1022" spans="1:16" ht="12.75">
      <c r="A1022" s="49"/>
      <c r="B1022" s="49"/>
      <c r="C1022" s="49"/>
      <c r="D1022" s="39"/>
      <c r="E1022" s="40"/>
      <c r="H1022" s="49"/>
      <c r="I1022" s="49"/>
      <c r="J1022" s="41"/>
      <c r="K1022" s="15"/>
      <c r="L1022" s="15"/>
      <c r="M1022" s="15"/>
      <c r="N1022" s="15"/>
      <c r="P1022" s="15"/>
    </row>
    <row r="1023" spans="1:16" ht="12.75">
      <c r="A1023" s="49"/>
      <c r="B1023" s="49"/>
      <c r="C1023" s="49"/>
      <c r="D1023" s="39"/>
      <c r="E1023" s="40"/>
      <c r="H1023" s="49"/>
      <c r="I1023" s="49"/>
      <c r="J1023" s="41"/>
      <c r="K1023" s="15"/>
      <c r="L1023" s="15"/>
      <c r="M1023" s="15"/>
      <c r="N1023" s="15"/>
      <c r="P1023" s="15"/>
    </row>
    <row r="1024" spans="1:16" ht="12.75">
      <c r="A1024" s="49"/>
      <c r="B1024" s="49"/>
      <c r="C1024" s="49"/>
      <c r="D1024" s="39"/>
      <c r="E1024" s="40"/>
      <c r="H1024" s="49"/>
      <c r="I1024" s="49"/>
      <c r="J1024" s="41"/>
      <c r="K1024" s="15"/>
      <c r="L1024" s="15"/>
      <c r="M1024" s="15"/>
      <c r="N1024" s="15"/>
      <c r="P1024" s="15"/>
    </row>
    <row r="1025" spans="1:16" ht="12.75">
      <c r="A1025" s="49"/>
      <c r="B1025" s="49"/>
      <c r="C1025" s="49"/>
      <c r="D1025" s="39"/>
      <c r="E1025" s="40"/>
      <c r="H1025" s="49"/>
      <c r="I1025" s="49"/>
      <c r="J1025" s="41"/>
      <c r="K1025" s="15"/>
      <c r="L1025" s="15"/>
      <c r="M1025" s="15"/>
      <c r="N1025" s="15"/>
      <c r="P1025" s="15"/>
    </row>
    <row r="1026" spans="1:16" ht="12.75">
      <c r="A1026" s="49"/>
      <c r="B1026" s="49"/>
      <c r="C1026" s="49"/>
      <c r="D1026" s="39"/>
      <c r="E1026" s="40"/>
      <c r="H1026" s="49"/>
      <c r="I1026" s="49"/>
      <c r="J1026" s="41"/>
      <c r="K1026" s="15"/>
      <c r="L1026" s="15"/>
      <c r="M1026" s="15"/>
      <c r="N1026" s="15"/>
      <c r="P1026" s="15"/>
    </row>
    <row r="1027" spans="1:16" ht="12.75">
      <c r="A1027" s="49"/>
      <c r="B1027" s="49"/>
      <c r="C1027" s="49"/>
      <c r="D1027" s="39"/>
      <c r="E1027" s="40"/>
      <c r="H1027" s="49"/>
      <c r="I1027" s="49"/>
      <c r="J1027" s="41"/>
      <c r="K1027" s="15"/>
      <c r="L1027" s="15"/>
      <c r="M1027" s="15"/>
      <c r="N1027" s="15"/>
      <c r="P1027" s="15"/>
    </row>
    <row r="1028" spans="1:16" ht="12.75">
      <c r="A1028" s="49"/>
      <c r="B1028" s="49"/>
      <c r="C1028" s="49"/>
      <c r="D1028" s="39"/>
      <c r="E1028" s="40"/>
      <c r="H1028" s="49"/>
      <c r="I1028" s="49"/>
      <c r="J1028" s="41"/>
      <c r="K1028" s="15"/>
      <c r="L1028" s="15"/>
      <c r="M1028" s="15"/>
      <c r="N1028" s="15"/>
      <c r="P1028" s="15"/>
    </row>
    <row r="1029" spans="1:16" ht="12.75">
      <c r="A1029" s="49"/>
      <c r="B1029" s="49"/>
      <c r="C1029" s="49"/>
      <c r="D1029" s="39"/>
      <c r="E1029" s="40"/>
      <c r="H1029" s="49"/>
      <c r="I1029" s="49"/>
      <c r="J1029" s="41"/>
      <c r="K1029" s="15"/>
      <c r="L1029" s="15"/>
      <c r="M1029" s="15"/>
      <c r="N1029" s="15"/>
      <c r="P1029" s="15"/>
    </row>
    <row r="1030" spans="1:16" ht="12.75">
      <c r="A1030" s="49"/>
      <c r="B1030" s="49"/>
      <c r="C1030" s="49"/>
      <c r="D1030" s="39"/>
      <c r="E1030" s="40"/>
      <c r="H1030" s="49"/>
      <c r="I1030" s="49"/>
      <c r="J1030" s="41"/>
      <c r="K1030" s="15"/>
      <c r="L1030" s="15"/>
      <c r="M1030" s="15"/>
      <c r="N1030" s="15"/>
      <c r="P1030" s="15"/>
    </row>
    <row r="1031" spans="1:16" ht="12.75">
      <c r="A1031" s="49"/>
      <c r="B1031" s="49"/>
      <c r="C1031" s="49"/>
      <c r="D1031" s="39"/>
      <c r="E1031" s="40"/>
      <c r="H1031" s="49"/>
      <c r="I1031" s="49"/>
      <c r="J1031" s="41"/>
      <c r="K1031" s="15"/>
      <c r="L1031" s="15"/>
      <c r="M1031" s="15"/>
      <c r="N1031" s="15"/>
      <c r="P1031" s="15"/>
    </row>
    <row r="1032" spans="1:16" ht="12.75">
      <c r="A1032" s="49"/>
      <c r="B1032" s="49"/>
      <c r="C1032" s="49"/>
      <c r="D1032" s="39"/>
      <c r="E1032" s="40"/>
      <c r="H1032" s="49"/>
      <c r="I1032" s="49"/>
      <c r="J1032" s="41"/>
      <c r="K1032" s="15"/>
      <c r="L1032" s="15"/>
      <c r="M1032" s="15"/>
      <c r="N1032" s="15"/>
      <c r="P1032" s="15"/>
    </row>
    <row r="1033" spans="1:16" ht="12.75">
      <c r="A1033" s="49"/>
      <c r="B1033" s="49"/>
      <c r="C1033" s="49"/>
      <c r="D1033" s="39"/>
      <c r="E1033" s="40"/>
      <c r="H1033" s="49"/>
      <c r="I1033" s="49"/>
      <c r="J1033" s="41"/>
      <c r="K1033" s="15"/>
      <c r="L1033" s="15"/>
      <c r="M1033" s="15"/>
      <c r="N1033" s="15"/>
      <c r="P1033" s="15"/>
    </row>
    <row r="1034" spans="1:16" ht="12.75">
      <c r="A1034" s="49"/>
      <c r="B1034" s="49"/>
      <c r="C1034" s="49"/>
      <c r="D1034" s="39"/>
      <c r="E1034" s="40"/>
      <c r="H1034" s="49"/>
      <c r="I1034" s="49"/>
      <c r="J1034" s="41"/>
      <c r="K1034" s="15"/>
      <c r="L1034" s="15"/>
      <c r="M1034" s="15"/>
      <c r="N1034" s="15"/>
      <c r="P1034" s="15"/>
    </row>
    <row r="1035" spans="1:16" ht="12.75">
      <c r="A1035" s="49"/>
      <c r="B1035" s="49"/>
      <c r="C1035" s="49"/>
      <c r="D1035" s="39"/>
      <c r="E1035" s="40"/>
      <c r="H1035" s="49"/>
      <c r="I1035" s="49"/>
      <c r="J1035" s="41"/>
      <c r="K1035" s="15"/>
      <c r="L1035" s="15"/>
      <c r="M1035" s="15"/>
      <c r="N1035" s="15"/>
      <c r="P1035" s="15"/>
    </row>
    <row r="1036" spans="1:16" ht="12.75">
      <c r="A1036" s="49"/>
      <c r="B1036" s="49"/>
      <c r="C1036" s="49"/>
      <c r="D1036" s="39"/>
      <c r="E1036" s="40"/>
      <c r="H1036" s="49"/>
      <c r="I1036" s="49"/>
      <c r="J1036" s="41"/>
      <c r="K1036" s="15"/>
      <c r="L1036" s="15"/>
      <c r="M1036" s="15"/>
      <c r="N1036" s="15"/>
      <c r="P1036" s="15"/>
    </row>
    <row r="1037" spans="1:16" ht="12.75">
      <c r="A1037" s="49"/>
      <c r="B1037" s="49"/>
      <c r="C1037" s="49"/>
      <c r="D1037" s="39"/>
      <c r="E1037" s="40"/>
      <c r="H1037" s="49"/>
      <c r="I1037" s="49"/>
      <c r="J1037" s="41"/>
      <c r="K1037" s="15"/>
      <c r="L1037" s="15"/>
      <c r="M1037" s="15"/>
      <c r="N1037" s="15"/>
      <c r="P1037" s="15"/>
    </row>
    <row r="1038" spans="1:16" ht="12.75">
      <c r="A1038" s="49"/>
      <c r="B1038" s="49"/>
      <c r="C1038" s="49"/>
      <c r="D1038" s="39"/>
      <c r="E1038" s="40"/>
      <c r="H1038" s="49"/>
      <c r="I1038" s="49"/>
      <c r="J1038" s="41"/>
      <c r="K1038" s="15"/>
      <c r="L1038" s="15"/>
      <c r="M1038" s="15"/>
      <c r="N1038" s="15"/>
      <c r="P1038" s="15"/>
    </row>
    <row r="1039" spans="1:16" ht="12.75">
      <c r="A1039" s="49"/>
      <c r="B1039" s="49"/>
      <c r="C1039" s="49"/>
      <c r="D1039" s="39"/>
      <c r="E1039" s="40"/>
      <c r="H1039" s="49"/>
      <c r="I1039" s="49"/>
      <c r="J1039" s="41"/>
      <c r="K1039" s="15"/>
      <c r="L1039" s="15"/>
      <c r="M1039" s="15"/>
      <c r="N1039" s="15"/>
      <c r="P1039" s="15"/>
    </row>
    <row r="1040" spans="1:16" ht="12.75">
      <c r="A1040" s="49"/>
      <c r="B1040" s="49"/>
      <c r="C1040" s="49"/>
      <c r="D1040" s="39"/>
      <c r="E1040" s="40"/>
      <c r="H1040" s="49"/>
      <c r="I1040" s="49"/>
      <c r="J1040" s="41"/>
      <c r="K1040" s="15"/>
      <c r="L1040" s="15"/>
      <c r="M1040" s="15"/>
      <c r="N1040" s="15"/>
      <c r="P1040" s="15"/>
    </row>
    <row r="1041" spans="1:16" ht="12.75">
      <c r="A1041" s="49"/>
      <c r="B1041" s="49"/>
      <c r="C1041" s="49"/>
      <c r="D1041" s="39"/>
      <c r="E1041" s="40"/>
      <c r="H1041" s="49"/>
      <c r="I1041" s="49"/>
      <c r="J1041" s="41"/>
      <c r="K1041" s="15"/>
      <c r="L1041" s="15"/>
      <c r="M1041" s="15"/>
      <c r="N1041" s="15"/>
      <c r="P1041" s="15"/>
    </row>
  </sheetData>
  <mergeCells count="21">
    <mergeCell ref="C80:G80"/>
    <mergeCell ref="C87:G87"/>
    <mergeCell ref="D89:E89"/>
    <mergeCell ref="K3:K4"/>
    <mergeCell ref="L3:L4"/>
    <mergeCell ref="G3:G4"/>
    <mergeCell ref="H3:I3"/>
    <mergeCell ref="J3:J4"/>
    <mergeCell ref="C6:G6"/>
    <mergeCell ref="C69:E69"/>
    <mergeCell ref="C72:E72"/>
    <mergeCell ref="M3:M4"/>
    <mergeCell ref="N3:N4"/>
    <mergeCell ref="O3:O4"/>
    <mergeCell ref="P3:P4"/>
    <mergeCell ref="J1:N1"/>
    <mergeCell ref="A3:A4"/>
    <mergeCell ref="C3:C4"/>
    <mergeCell ref="D3:D4"/>
    <mergeCell ref="E3:E4"/>
    <mergeCell ref="F3:F4"/>
  </mergeCells>
  <conditionalFormatting sqref="D7:D55 D8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90:A161">
    <cfRule type="cellIs" dxfId="9" priority="2" operator="equal">
      <formula>"Sim"</formula>
    </cfRule>
  </conditionalFormatting>
  <conditionalFormatting sqref="A90:A161">
    <cfRule type="notContainsBlanks" dxfId="8" priority="3">
      <formula>LEN(TRIM(A90))&gt;0</formula>
    </cfRule>
  </conditionalFormatting>
  <hyperlinks>
    <hyperlink ref="M8" r:id="rId1"/>
    <hyperlink ref="N8" r:id="rId2"/>
    <hyperlink ref="M9" r:id="rId3"/>
    <hyperlink ref="N9" r:id="rId4"/>
    <hyperlink ref="N10" r:id="rId5"/>
    <hyperlink ref="N11" r:id="rId6"/>
    <hyperlink ref="M12" r:id="rId7"/>
    <hyperlink ref="N12" r:id="rId8"/>
    <hyperlink ref="M15" r:id="rId9"/>
    <hyperlink ref="N15" r:id="rId10"/>
    <hyperlink ref="M16" r:id="rId11"/>
    <hyperlink ref="N16" r:id="rId12"/>
    <hyperlink ref="M17" r:id="rId13"/>
    <hyperlink ref="N17" r:id="rId14"/>
    <hyperlink ref="N18" r:id="rId15"/>
    <hyperlink ref="N19" r:id="rId16"/>
    <hyperlink ref="M21" r:id="rId17"/>
    <hyperlink ref="N21" r:id="rId18"/>
    <hyperlink ref="M22" r:id="rId19"/>
    <hyperlink ref="N22" r:id="rId20"/>
    <hyperlink ref="M23" r:id="rId21"/>
    <hyperlink ref="N23" r:id="rId22"/>
    <hyperlink ref="N24" r:id="rId23"/>
    <hyperlink ref="M25" r:id="rId24"/>
    <hyperlink ref="N25" r:id="rId25"/>
    <hyperlink ref="M27" r:id="rId26"/>
    <hyperlink ref="N27" r:id="rId27"/>
    <hyperlink ref="M28" r:id="rId28"/>
    <hyperlink ref="N28" r:id="rId29"/>
    <hyperlink ref="M29" r:id="rId30"/>
    <hyperlink ref="N29" r:id="rId31"/>
    <hyperlink ref="N30" r:id="rId32"/>
    <hyperlink ref="M31" r:id="rId33"/>
    <hyperlink ref="N31" r:id="rId34"/>
    <hyperlink ref="N32" r:id="rId35"/>
    <hyperlink ref="M34" r:id="rId36"/>
    <hyperlink ref="N34" r:id="rId37"/>
    <hyperlink ref="M35" r:id="rId38"/>
    <hyperlink ref="N35" r:id="rId39"/>
    <hyperlink ref="N36" r:id="rId40"/>
    <hyperlink ref="M37" r:id="rId41"/>
    <hyperlink ref="N37" r:id="rId42"/>
    <hyperlink ref="M38" r:id="rId43"/>
    <hyperlink ref="N38" r:id="rId44"/>
    <hyperlink ref="M40" r:id="rId45"/>
    <hyperlink ref="N40" r:id="rId46"/>
    <hyperlink ref="M41" r:id="rId47"/>
    <hyperlink ref="N41" r:id="rId48"/>
    <hyperlink ref="M42" r:id="rId49"/>
    <hyperlink ref="N42" r:id="rId50"/>
    <hyperlink ref="M43" r:id="rId51"/>
    <hyperlink ref="N43" r:id="rId52"/>
    <hyperlink ref="M44" r:id="rId53"/>
    <hyperlink ref="N44" r:id="rId54"/>
    <hyperlink ref="M46" r:id="rId55"/>
    <hyperlink ref="N46" r:id="rId56"/>
    <hyperlink ref="M47" r:id="rId57"/>
    <hyperlink ref="N47" r:id="rId58"/>
    <hyperlink ref="M48" r:id="rId59"/>
    <hyperlink ref="N48" r:id="rId60"/>
    <hyperlink ref="M49" r:id="rId61"/>
    <hyperlink ref="N49" r:id="rId62"/>
    <hyperlink ref="M50" r:id="rId63"/>
    <hyperlink ref="N50" r:id="rId64"/>
    <hyperlink ref="M52" r:id="rId65"/>
    <hyperlink ref="N52" r:id="rId66"/>
    <hyperlink ref="M81" r:id="rId67"/>
    <hyperlink ref="N81" r:id="rId68"/>
    <hyperlink ref="N91" r:id="rId69"/>
    <hyperlink ref="M92" r:id="rId70"/>
    <hyperlink ref="N92" r:id="rId71"/>
    <hyperlink ref="N93" r:id="rId72"/>
    <hyperlink ref="N94" r:id="rId73"/>
    <hyperlink ref="N95" r:id="rId74"/>
    <hyperlink ref="N96" r:id="rId75"/>
    <hyperlink ref="N97" r:id="rId76"/>
    <hyperlink ref="N98" r:id="rId77"/>
    <hyperlink ref="N99" r:id="rId78"/>
    <hyperlink ref="N100" r:id="rId79"/>
    <hyperlink ref="N101" r:id="rId80"/>
    <hyperlink ref="N102" r:id="rId81"/>
    <hyperlink ref="N103" r:id="rId82"/>
    <hyperlink ref="N104" r:id="rId83"/>
    <hyperlink ref="N105" r:id="rId84"/>
    <hyperlink ref="N107" r:id="rId85"/>
    <hyperlink ref="N108" r:id="rId86"/>
    <hyperlink ref="M109" r:id="rId87"/>
    <hyperlink ref="N109" r:id="rId88"/>
    <hyperlink ref="M110" r:id="rId89"/>
    <hyperlink ref="M111" r:id="rId90"/>
    <hyperlink ref="N111" r:id="rId91"/>
    <hyperlink ref="N112" r:id="rId92"/>
    <hyperlink ref="N113" r:id="rId93"/>
    <hyperlink ref="N114" r:id="rId94"/>
    <hyperlink ref="N115" r:id="rId95"/>
    <hyperlink ref="N116" r:id="rId96"/>
    <hyperlink ref="N117" r:id="rId97"/>
    <hyperlink ref="N118" r:id="rId98"/>
    <hyperlink ref="N119" r:id="rId99"/>
    <hyperlink ref="N120" r:id="rId100"/>
    <hyperlink ref="M121" r:id="rId101"/>
    <hyperlink ref="N125" r:id="rId102"/>
    <hyperlink ref="N129" r:id="rId103"/>
    <hyperlink ref="M130" r:id="rId104"/>
    <hyperlink ref="M132" r:id="rId105"/>
    <hyperlink ref="M134" r:id="rId106"/>
    <hyperlink ref="M135" r:id="rId107"/>
  </hyperlinks>
  <pageMargins left="0.511811024" right="0.511811024" top="0.78740157499999996" bottom="0.78740157499999996" header="0.31496062000000002" footer="0.31496062000000002"/>
  <pageSetup paperSize="9" orientation="portrait" r:id="rId10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" customWidth="1"/>
    <col min="2" max="2" width="31.5703125" customWidth="1"/>
    <col min="3" max="3" width="10.7109375" customWidth="1"/>
    <col min="4" max="4" width="11.7109375" customWidth="1"/>
    <col min="5" max="5" width="12.140625" customWidth="1"/>
    <col min="6" max="6" width="65.28515625" customWidth="1"/>
  </cols>
  <sheetData>
    <row r="1" spans="1:26">
      <c r="A1" s="72" t="s">
        <v>495</v>
      </c>
      <c r="B1" s="73" t="s">
        <v>496</v>
      </c>
      <c r="C1" s="74" t="s">
        <v>497</v>
      </c>
      <c r="D1" s="74" t="s">
        <v>498</v>
      </c>
      <c r="E1" s="72" t="s">
        <v>499</v>
      </c>
      <c r="F1" s="75" t="s">
        <v>500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>
      <c r="A2" s="77"/>
      <c r="B2" s="78"/>
      <c r="C2" s="77"/>
      <c r="D2" s="77"/>
      <c r="E2" s="77"/>
      <c r="F2" s="78"/>
    </row>
    <row r="3" spans="1:26">
      <c r="A3" s="79" t="s">
        <v>501</v>
      </c>
      <c r="B3" s="80" t="s">
        <v>22</v>
      </c>
      <c r="C3" s="77" t="s">
        <v>21</v>
      </c>
      <c r="D3" s="77"/>
      <c r="E3" s="77"/>
      <c r="F3" s="78"/>
    </row>
    <row r="4" spans="1:26">
      <c r="A4" s="77"/>
      <c r="B4" s="78"/>
      <c r="C4" s="77"/>
      <c r="D4" s="77"/>
      <c r="E4" s="77"/>
      <c r="F4" s="78"/>
    </row>
    <row r="5" spans="1:26">
      <c r="A5" s="79" t="s">
        <v>501</v>
      </c>
      <c r="B5" s="80" t="s">
        <v>30</v>
      </c>
      <c r="C5" s="77" t="s">
        <v>29</v>
      </c>
      <c r="D5" s="77"/>
      <c r="E5" s="77"/>
      <c r="F5" s="78"/>
    </row>
    <row r="6" spans="1:26">
      <c r="A6" s="77"/>
      <c r="B6" s="78"/>
      <c r="C6" s="77"/>
      <c r="D6" s="77"/>
      <c r="E6" s="77"/>
      <c r="F6" s="78"/>
    </row>
    <row r="7" spans="1:26">
      <c r="A7" s="79" t="s">
        <v>501</v>
      </c>
      <c r="B7" s="80" t="s">
        <v>38</v>
      </c>
      <c r="C7" s="77" t="s">
        <v>37</v>
      </c>
      <c r="D7" s="77"/>
      <c r="E7" s="77"/>
      <c r="F7" s="78"/>
    </row>
    <row r="8" spans="1:26">
      <c r="A8" s="77"/>
      <c r="B8" s="78"/>
      <c r="C8" s="77"/>
      <c r="D8" s="77"/>
      <c r="E8" s="77"/>
      <c r="F8" s="78"/>
    </row>
    <row r="9" spans="1:26">
      <c r="A9" s="79" t="s">
        <v>501</v>
      </c>
      <c r="B9" s="80" t="s">
        <v>502</v>
      </c>
      <c r="C9" s="77" t="s">
        <v>42</v>
      </c>
      <c r="D9" s="77"/>
      <c r="E9" s="77"/>
      <c r="F9" s="78"/>
    </row>
    <row r="10" spans="1:26">
      <c r="A10" s="77"/>
      <c r="B10" s="78"/>
      <c r="C10" s="77"/>
      <c r="D10" s="77"/>
      <c r="E10" s="77"/>
      <c r="F10" s="78"/>
    </row>
    <row r="11" spans="1:26">
      <c r="A11" s="79" t="s">
        <v>501</v>
      </c>
      <c r="B11" s="78" t="s">
        <v>503</v>
      </c>
      <c r="C11" s="77" t="s">
        <v>47</v>
      </c>
      <c r="D11" s="79"/>
      <c r="E11" s="77"/>
      <c r="F11" s="80"/>
    </row>
    <row r="12" spans="1:26">
      <c r="A12" s="77"/>
      <c r="B12" s="78"/>
      <c r="C12" s="77"/>
      <c r="D12" s="77"/>
      <c r="E12" s="77"/>
      <c r="F12" s="78"/>
    </row>
    <row r="13" spans="1:26">
      <c r="A13" s="81" t="s">
        <v>501</v>
      </c>
      <c r="B13" s="82" t="s">
        <v>55</v>
      </c>
      <c r="C13" s="79" t="s">
        <v>54</v>
      </c>
      <c r="D13" s="77" t="s">
        <v>504</v>
      </c>
      <c r="E13" s="77" t="s">
        <v>47</v>
      </c>
      <c r="F13" s="80" t="s">
        <v>505</v>
      </c>
    </row>
    <row r="14" spans="1:26">
      <c r="A14" s="81" t="s">
        <v>501</v>
      </c>
      <c r="B14" s="82" t="s">
        <v>55</v>
      </c>
      <c r="C14" s="79" t="s">
        <v>54</v>
      </c>
      <c r="D14" s="77" t="s">
        <v>504</v>
      </c>
      <c r="E14" s="77" t="s">
        <v>29</v>
      </c>
      <c r="F14" s="80" t="s">
        <v>506</v>
      </c>
    </row>
    <row r="15" spans="1:26">
      <c r="A15" s="77"/>
      <c r="B15" s="78"/>
      <c r="C15" s="77"/>
      <c r="D15" s="77"/>
      <c r="E15" s="77"/>
      <c r="F15" s="78"/>
    </row>
    <row r="16" spans="1:26">
      <c r="A16" s="79" t="s">
        <v>501</v>
      </c>
      <c r="B16" s="80" t="s">
        <v>507</v>
      </c>
      <c r="C16" s="77" t="s">
        <v>50</v>
      </c>
      <c r="D16" s="79" t="s">
        <v>508</v>
      </c>
      <c r="E16" s="77" t="s">
        <v>47</v>
      </c>
      <c r="F16" s="80" t="s">
        <v>505</v>
      </c>
    </row>
    <row r="17" spans="1:6">
      <c r="A17" s="77"/>
      <c r="B17" s="78"/>
      <c r="C17" s="77"/>
      <c r="D17" s="77"/>
      <c r="E17" s="77"/>
      <c r="F17" s="78"/>
    </row>
    <row r="18" spans="1:6">
      <c r="A18" s="79" t="s">
        <v>501</v>
      </c>
      <c r="B18" s="78" t="s">
        <v>64</v>
      </c>
      <c r="C18" s="77" t="s">
        <v>63</v>
      </c>
      <c r="D18" s="77" t="s">
        <v>504</v>
      </c>
      <c r="E18" s="77" t="s">
        <v>37</v>
      </c>
      <c r="F18" s="80" t="s">
        <v>509</v>
      </c>
    </row>
    <row r="19" spans="1:6">
      <c r="A19" s="79" t="s">
        <v>501</v>
      </c>
      <c r="B19" s="78" t="s">
        <v>64</v>
      </c>
      <c r="C19" s="77" t="s">
        <v>63</v>
      </c>
      <c r="D19" s="77" t="s">
        <v>504</v>
      </c>
      <c r="E19" s="77" t="s">
        <v>29</v>
      </c>
      <c r="F19" s="80" t="s">
        <v>506</v>
      </c>
    </row>
    <row r="20" spans="1:6">
      <c r="A20" s="77"/>
      <c r="B20" s="78"/>
      <c r="C20" s="77"/>
      <c r="D20" s="77"/>
      <c r="E20" s="77"/>
      <c r="F20" s="78"/>
    </row>
    <row r="21" spans="1:6">
      <c r="A21" s="79" t="s">
        <v>501</v>
      </c>
      <c r="B21" s="78" t="s">
        <v>72</v>
      </c>
      <c r="C21" s="77" t="s">
        <v>71</v>
      </c>
      <c r="D21" s="77" t="s">
        <v>504</v>
      </c>
      <c r="E21" s="77" t="s">
        <v>21</v>
      </c>
      <c r="F21" s="80" t="s">
        <v>510</v>
      </c>
    </row>
    <row r="22" spans="1:6">
      <c r="A22" s="79" t="s">
        <v>501</v>
      </c>
      <c r="B22" s="78" t="s">
        <v>72</v>
      </c>
      <c r="C22" s="77" t="s">
        <v>71</v>
      </c>
      <c r="D22" s="77" t="s">
        <v>504</v>
      </c>
      <c r="E22" s="77" t="s">
        <v>29</v>
      </c>
      <c r="F22" s="80" t="s">
        <v>506</v>
      </c>
    </row>
    <row r="23" spans="1:6">
      <c r="A23" s="77"/>
      <c r="B23" s="78"/>
      <c r="C23" s="77"/>
      <c r="D23" s="77"/>
      <c r="E23" s="77"/>
      <c r="F23" s="78"/>
    </row>
    <row r="24" spans="1:6">
      <c r="A24" s="79" t="s">
        <v>501</v>
      </c>
      <c r="B24" s="78" t="s">
        <v>511</v>
      </c>
      <c r="C24" s="77" t="s">
        <v>77</v>
      </c>
      <c r="D24" s="77" t="s">
        <v>504</v>
      </c>
      <c r="E24" s="77" t="s">
        <v>42</v>
      </c>
      <c r="F24" s="80" t="s">
        <v>512</v>
      </c>
    </row>
    <row r="25" spans="1:6">
      <c r="A25" s="77"/>
      <c r="B25" s="78"/>
      <c r="C25" s="77"/>
      <c r="D25" s="77"/>
      <c r="E25" s="77"/>
      <c r="F25" s="78"/>
    </row>
    <row r="26" spans="1:6">
      <c r="A26" s="79" t="s">
        <v>501</v>
      </c>
      <c r="B26" s="78" t="s">
        <v>513</v>
      </c>
      <c r="C26" s="77" t="s">
        <v>83</v>
      </c>
      <c r="D26" s="77" t="s">
        <v>504</v>
      </c>
      <c r="E26" s="77" t="s">
        <v>42</v>
      </c>
      <c r="F26" s="80" t="s">
        <v>512</v>
      </c>
    </row>
    <row r="27" spans="1:6">
      <c r="A27" s="77"/>
      <c r="B27" s="78"/>
      <c r="C27" s="77"/>
      <c r="D27" s="77"/>
      <c r="E27" s="77"/>
      <c r="F27" s="78"/>
    </row>
    <row r="28" spans="1:6">
      <c r="A28" s="79" t="s">
        <v>501</v>
      </c>
      <c r="B28" s="78" t="s">
        <v>89</v>
      </c>
      <c r="C28" s="77" t="s">
        <v>88</v>
      </c>
      <c r="D28" s="77" t="s">
        <v>504</v>
      </c>
      <c r="E28" s="77" t="s">
        <v>47</v>
      </c>
      <c r="F28" s="80" t="s">
        <v>505</v>
      </c>
    </row>
    <row r="29" spans="1:6">
      <c r="A29" s="79" t="s">
        <v>501</v>
      </c>
      <c r="B29" s="78" t="s">
        <v>89</v>
      </c>
      <c r="C29" s="77" t="s">
        <v>88</v>
      </c>
      <c r="D29" s="77" t="s">
        <v>504</v>
      </c>
      <c r="E29" s="79" t="s">
        <v>50</v>
      </c>
      <c r="F29" s="83" t="s">
        <v>514</v>
      </c>
    </row>
    <row r="30" spans="1:6">
      <c r="A30" s="77"/>
      <c r="B30" s="78"/>
      <c r="C30" s="77"/>
      <c r="D30" s="77"/>
      <c r="E30" s="77"/>
      <c r="F30" s="78"/>
    </row>
    <row r="31" spans="1:6">
      <c r="A31" s="79" t="s">
        <v>501</v>
      </c>
      <c r="B31" s="82" t="s">
        <v>95</v>
      </c>
      <c r="C31" s="79" t="s">
        <v>94</v>
      </c>
      <c r="D31" s="77" t="s">
        <v>504</v>
      </c>
      <c r="E31" s="77" t="s">
        <v>63</v>
      </c>
      <c r="F31" s="80" t="s">
        <v>515</v>
      </c>
    </row>
    <row r="32" spans="1:6">
      <c r="A32" s="77"/>
      <c r="B32" s="78"/>
      <c r="C32" s="77"/>
      <c r="D32" s="77"/>
      <c r="E32" s="77"/>
      <c r="F32" s="78"/>
    </row>
    <row r="33" spans="1:6">
      <c r="A33" s="79" t="s">
        <v>501</v>
      </c>
      <c r="B33" s="78" t="s">
        <v>102</v>
      </c>
      <c r="C33" s="77" t="s">
        <v>101</v>
      </c>
      <c r="D33" s="77" t="s">
        <v>504</v>
      </c>
      <c r="E33" s="77" t="s">
        <v>71</v>
      </c>
      <c r="F33" s="80" t="s">
        <v>516</v>
      </c>
    </row>
    <row r="34" spans="1:6">
      <c r="A34" s="79" t="s">
        <v>501</v>
      </c>
      <c r="B34" s="78" t="s">
        <v>102</v>
      </c>
      <c r="C34" s="77" t="s">
        <v>101</v>
      </c>
      <c r="D34" s="77" t="s">
        <v>508</v>
      </c>
      <c r="E34" s="77" t="s">
        <v>47</v>
      </c>
      <c r="F34" s="80" t="s">
        <v>505</v>
      </c>
    </row>
    <row r="35" spans="1:6">
      <c r="A35" s="79" t="s">
        <v>501</v>
      </c>
      <c r="B35" s="78" t="s">
        <v>102</v>
      </c>
      <c r="C35" s="77" t="s">
        <v>101</v>
      </c>
      <c r="D35" s="77" t="s">
        <v>504</v>
      </c>
      <c r="E35" s="79" t="s">
        <v>50</v>
      </c>
      <c r="F35" s="83" t="s">
        <v>514</v>
      </c>
    </row>
    <row r="36" spans="1:6">
      <c r="A36" s="79" t="s">
        <v>501</v>
      </c>
      <c r="B36" s="78" t="s">
        <v>102</v>
      </c>
      <c r="C36" s="77" t="s">
        <v>101</v>
      </c>
      <c r="D36" s="77" t="s">
        <v>504</v>
      </c>
      <c r="E36" s="79" t="s">
        <v>42</v>
      </c>
      <c r="F36" s="83" t="s">
        <v>512</v>
      </c>
    </row>
    <row r="37" spans="1:6">
      <c r="A37" s="79" t="s">
        <v>501</v>
      </c>
      <c r="B37" s="78" t="s">
        <v>102</v>
      </c>
      <c r="C37" s="77" t="s">
        <v>101</v>
      </c>
      <c r="D37" s="77" t="s">
        <v>508</v>
      </c>
      <c r="E37" s="77" t="s">
        <v>77</v>
      </c>
      <c r="F37" s="80" t="s">
        <v>517</v>
      </c>
    </row>
    <row r="38" spans="1:6">
      <c r="A38" s="77"/>
      <c r="B38" s="78"/>
      <c r="C38" s="77"/>
      <c r="D38" s="77"/>
      <c r="E38" s="77"/>
      <c r="F38" s="78"/>
    </row>
    <row r="39" spans="1:6">
      <c r="A39" s="79" t="s">
        <v>501</v>
      </c>
      <c r="B39" s="78" t="s">
        <v>518</v>
      </c>
      <c r="C39" s="77" t="s">
        <v>109</v>
      </c>
      <c r="D39" s="77" t="s">
        <v>504</v>
      </c>
      <c r="E39" s="77" t="s">
        <v>71</v>
      </c>
      <c r="F39" s="80" t="s">
        <v>516</v>
      </c>
    </row>
    <row r="40" spans="1:6">
      <c r="A40" s="77"/>
      <c r="B40" s="78"/>
      <c r="C40" s="77"/>
      <c r="D40" s="77"/>
      <c r="E40" s="77"/>
      <c r="F40" s="78"/>
    </row>
    <row r="41" spans="1:6">
      <c r="A41" s="79" t="s">
        <v>501</v>
      </c>
      <c r="B41" s="78" t="s">
        <v>519</v>
      </c>
      <c r="C41" s="77" t="s">
        <v>116</v>
      </c>
      <c r="D41" s="77" t="s">
        <v>504</v>
      </c>
      <c r="E41" s="77" t="s">
        <v>71</v>
      </c>
      <c r="F41" s="80" t="s">
        <v>516</v>
      </c>
    </row>
    <row r="42" spans="1:6">
      <c r="A42" s="77"/>
      <c r="B42" s="78"/>
      <c r="C42" s="77"/>
      <c r="D42" s="77"/>
      <c r="E42" s="77"/>
      <c r="F42" s="78"/>
    </row>
    <row r="43" spans="1:6">
      <c r="A43" s="79" t="s">
        <v>501</v>
      </c>
      <c r="B43" s="78" t="s">
        <v>125</v>
      </c>
      <c r="C43" s="77" t="s">
        <v>124</v>
      </c>
      <c r="D43" s="77" t="s">
        <v>504</v>
      </c>
      <c r="E43" s="77" t="s">
        <v>88</v>
      </c>
      <c r="F43" s="80" t="s">
        <v>520</v>
      </c>
    </row>
    <row r="44" spans="1:6">
      <c r="A44" s="79" t="s">
        <v>501</v>
      </c>
      <c r="B44" s="78" t="s">
        <v>125</v>
      </c>
      <c r="C44" s="77" t="s">
        <v>124</v>
      </c>
      <c r="D44" s="77" t="s">
        <v>508</v>
      </c>
      <c r="E44" s="77" t="s">
        <v>101</v>
      </c>
      <c r="F44" s="80" t="s">
        <v>521</v>
      </c>
    </row>
    <row r="45" spans="1:6">
      <c r="A45" s="77"/>
      <c r="B45" s="78"/>
      <c r="C45" s="77"/>
      <c r="D45" s="77"/>
      <c r="E45" s="77"/>
      <c r="F45" s="78"/>
    </row>
    <row r="46" spans="1:6">
      <c r="A46" s="79" t="s">
        <v>501</v>
      </c>
      <c r="B46" s="78" t="s">
        <v>132</v>
      </c>
      <c r="C46" s="77" t="s">
        <v>131</v>
      </c>
      <c r="D46" s="77" t="s">
        <v>504</v>
      </c>
      <c r="E46" s="77" t="s">
        <v>101</v>
      </c>
      <c r="F46" s="80" t="s">
        <v>521</v>
      </c>
    </row>
    <row r="47" spans="1:6">
      <c r="A47" s="77"/>
      <c r="B47" s="78"/>
      <c r="C47" s="77"/>
      <c r="D47" s="77"/>
      <c r="E47" s="77"/>
      <c r="F47" s="78"/>
    </row>
    <row r="48" spans="1:6">
      <c r="A48" s="79" t="s">
        <v>501</v>
      </c>
      <c r="B48" s="78" t="s">
        <v>138</v>
      </c>
      <c r="C48" s="77" t="s">
        <v>137</v>
      </c>
      <c r="D48" s="77" t="s">
        <v>504</v>
      </c>
      <c r="E48" s="79" t="s">
        <v>94</v>
      </c>
      <c r="F48" s="83" t="s">
        <v>522</v>
      </c>
    </row>
    <row r="49" spans="1:6">
      <c r="A49" s="77"/>
      <c r="B49" s="78"/>
      <c r="C49" s="77"/>
      <c r="D49" s="77"/>
      <c r="E49" s="77"/>
      <c r="F49" s="78"/>
    </row>
    <row r="50" spans="1:6">
      <c r="A50" s="79" t="s">
        <v>501</v>
      </c>
      <c r="B50" s="78" t="s">
        <v>523</v>
      </c>
      <c r="C50" s="77" t="s">
        <v>144</v>
      </c>
      <c r="D50" s="77" t="s">
        <v>504</v>
      </c>
      <c r="E50" s="77" t="s">
        <v>42</v>
      </c>
      <c r="F50" s="80" t="s">
        <v>512</v>
      </c>
    </row>
    <row r="51" spans="1:6">
      <c r="A51" s="77"/>
      <c r="B51" s="78"/>
      <c r="C51" s="77"/>
      <c r="D51" s="77"/>
      <c r="E51" s="77"/>
      <c r="F51" s="78"/>
    </row>
    <row r="52" spans="1:6">
      <c r="A52" s="84" t="s">
        <v>501</v>
      </c>
      <c r="B52" s="78" t="s">
        <v>150</v>
      </c>
      <c r="C52" s="77" t="s">
        <v>149</v>
      </c>
      <c r="D52" s="77" t="s">
        <v>504</v>
      </c>
      <c r="E52" s="77" t="s">
        <v>109</v>
      </c>
      <c r="F52" s="80" t="s">
        <v>524</v>
      </c>
    </row>
    <row r="53" spans="1:6">
      <c r="A53" s="77"/>
      <c r="B53" s="78"/>
      <c r="C53" s="77"/>
      <c r="D53" s="77"/>
      <c r="E53" s="77"/>
      <c r="F53" s="78"/>
    </row>
    <row r="54" spans="1:6">
      <c r="A54" s="79" t="s">
        <v>501</v>
      </c>
      <c r="B54" s="78" t="s">
        <v>525</v>
      </c>
      <c r="C54" s="77" t="s">
        <v>156</v>
      </c>
      <c r="D54" s="77" t="s">
        <v>504</v>
      </c>
      <c r="E54" s="77" t="s">
        <v>109</v>
      </c>
      <c r="F54" s="80" t="s">
        <v>524</v>
      </c>
    </row>
    <row r="55" spans="1:6">
      <c r="A55" s="77"/>
      <c r="B55" s="78"/>
      <c r="C55" s="77"/>
      <c r="D55" s="77"/>
      <c r="E55" s="77"/>
      <c r="F55" s="78"/>
    </row>
    <row r="56" spans="1:6">
      <c r="A56" s="85" t="s">
        <v>501</v>
      </c>
      <c r="B56" s="78" t="s">
        <v>162</v>
      </c>
      <c r="C56" s="77" t="s">
        <v>161</v>
      </c>
      <c r="D56" s="77" t="s">
        <v>504</v>
      </c>
      <c r="E56" s="77" t="s">
        <v>63</v>
      </c>
      <c r="F56" s="80" t="s">
        <v>515</v>
      </c>
    </row>
    <row r="57" spans="1:6">
      <c r="A57" s="85" t="s">
        <v>501</v>
      </c>
      <c r="B57" s="78" t="s">
        <v>162</v>
      </c>
      <c r="C57" s="77" t="s">
        <v>161</v>
      </c>
      <c r="D57" s="77" t="s">
        <v>504</v>
      </c>
      <c r="E57" s="77" t="s">
        <v>71</v>
      </c>
      <c r="F57" s="80" t="s">
        <v>516</v>
      </c>
    </row>
    <row r="58" spans="1:6">
      <c r="A58" s="85" t="s">
        <v>501</v>
      </c>
      <c r="B58" s="78" t="s">
        <v>162</v>
      </c>
      <c r="C58" s="77" t="s">
        <v>161</v>
      </c>
      <c r="D58" s="77" t="s">
        <v>508</v>
      </c>
      <c r="E58" s="77" t="s">
        <v>137</v>
      </c>
      <c r="F58" s="80" t="s">
        <v>526</v>
      </c>
    </row>
    <row r="59" spans="1:6">
      <c r="A59" s="77"/>
      <c r="B59" s="78"/>
      <c r="C59" s="77"/>
      <c r="D59" s="77"/>
      <c r="E59" s="77"/>
      <c r="F59" s="78"/>
    </row>
    <row r="60" spans="1:6">
      <c r="A60" s="79" t="s">
        <v>501</v>
      </c>
      <c r="B60" s="78" t="s">
        <v>169</v>
      </c>
      <c r="C60" s="77" t="s">
        <v>168</v>
      </c>
      <c r="D60" s="77" t="s">
        <v>504</v>
      </c>
      <c r="E60" s="77" t="s">
        <v>101</v>
      </c>
      <c r="F60" s="80" t="s">
        <v>521</v>
      </c>
    </row>
    <row r="61" spans="1:6">
      <c r="A61" s="79" t="s">
        <v>501</v>
      </c>
      <c r="B61" s="78" t="s">
        <v>169</v>
      </c>
      <c r="C61" s="77" t="s">
        <v>168</v>
      </c>
      <c r="D61" s="77" t="s">
        <v>504</v>
      </c>
      <c r="E61" s="77" t="s">
        <v>77</v>
      </c>
      <c r="F61" s="80" t="s">
        <v>517</v>
      </c>
    </row>
    <row r="62" spans="1:6">
      <c r="A62" s="79" t="s">
        <v>501</v>
      </c>
      <c r="B62" s="78" t="s">
        <v>169</v>
      </c>
      <c r="C62" s="77" t="s">
        <v>168</v>
      </c>
      <c r="D62" s="77" t="s">
        <v>508</v>
      </c>
      <c r="E62" s="77" t="s">
        <v>124</v>
      </c>
      <c r="F62" s="80" t="s">
        <v>527</v>
      </c>
    </row>
    <row r="63" spans="1:6">
      <c r="A63" s="79" t="s">
        <v>501</v>
      </c>
      <c r="B63" s="78" t="s">
        <v>169</v>
      </c>
      <c r="C63" s="77" t="s">
        <v>168</v>
      </c>
      <c r="D63" s="77" t="s">
        <v>508</v>
      </c>
      <c r="E63" s="77" t="s">
        <v>144</v>
      </c>
      <c r="F63" s="78" t="s">
        <v>528</v>
      </c>
    </row>
    <row r="64" spans="1:6">
      <c r="A64" s="79" t="s">
        <v>501</v>
      </c>
      <c r="B64" s="78" t="s">
        <v>169</v>
      </c>
      <c r="C64" s="77" t="s">
        <v>168</v>
      </c>
      <c r="D64" s="77" t="s">
        <v>508</v>
      </c>
      <c r="E64" s="77" t="s">
        <v>131</v>
      </c>
      <c r="F64" s="80" t="s">
        <v>529</v>
      </c>
    </row>
    <row r="65" spans="1:6">
      <c r="A65" s="77"/>
      <c r="B65" s="78"/>
      <c r="C65" s="77"/>
      <c r="D65" s="77"/>
      <c r="E65" s="77"/>
      <c r="F65" s="78"/>
    </row>
    <row r="66" spans="1:6">
      <c r="A66" s="79" t="s">
        <v>501</v>
      </c>
      <c r="B66" s="78" t="s">
        <v>298</v>
      </c>
      <c r="C66" s="77" t="s">
        <v>297</v>
      </c>
      <c r="D66" s="77" t="s">
        <v>504</v>
      </c>
      <c r="E66" s="77" t="s">
        <v>83</v>
      </c>
      <c r="F66" s="80" t="s">
        <v>530</v>
      </c>
    </row>
    <row r="67" spans="1:6">
      <c r="A67" s="79" t="s">
        <v>501</v>
      </c>
      <c r="B67" s="78" t="s">
        <v>298</v>
      </c>
      <c r="C67" s="77" t="s">
        <v>297</v>
      </c>
      <c r="D67" s="77" t="s">
        <v>504</v>
      </c>
      <c r="E67" s="77" t="s">
        <v>144</v>
      </c>
      <c r="F67" s="78" t="s">
        <v>528</v>
      </c>
    </row>
    <row r="68" spans="1:6">
      <c r="A68" s="79" t="s">
        <v>501</v>
      </c>
      <c r="B68" s="78" t="s">
        <v>298</v>
      </c>
      <c r="C68" s="77" t="s">
        <v>297</v>
      </c>
      <c r="D68" s="77" t="s">
        <v>504</v>
      </c>
      <c r="E68" s="77" t="s">
        <v>71</v>
      </c>
      <c r="F68" s="80" t="s">
        <v>516</v>
      </c>
    </row>
    <row r="69" spans="1:6">
      <c r="A69" s="79" t="s">
        <v>501</v>
      </c>
      <c r="B69" s="78" t="s">
        <v>298</v>
      </c>
      <c r="C69" s="77" t="s">
        <v>297</v>
      </c>
      <c r="D69" s="77" t="s">
        <v>508</v>
      </c>
      <c r="E69" s="77" t="s">
        <v>101</v>
      </c>
      <c r="F69" s="80" t="s">
        <v>521</v>
      </c>
    </row>
    <row r="70" spans="1:6">
      <c r="A70" s="79"/>
      <c r="B70" s="78"/>
      <c r="C70" s="77"/>
      <c r="D70" s="77"/>
      <c r="E70" s="77"/>
      <c r="F70" s="80"/>
    </row>
    <row r="71" spans="1:6">
      <c r="A71" s="79" t="s">
        <v>501</v>
      </c>
      <c r="B71" s="82" t="s">
        <v>531</v>
      </c>
      <c r="C71" s="79" t="s">
        <v>177</v>
      </c>
      <c r="D71" s="77" t="s">
        <v>504</v>
      </c>
      <c r="E71" s="77" t="s">
        <v>144</v>
      </c>
      <c r="F71" s="78" t="s">
        <v>528</v>
      </c>
    </row>
    <row r="72" spans="1:6">
      <c r="A72" s="79" t="s">
        <v>501</v>
      </c>
      <c r="B72" s="82" t="s">
        <v>531</v>
      </c>
      <c r="C72" s="79" t="s">
        <v>177</v>
      </c>
      <c r="D72" s="77" t="s">
        <v>504</v>
      </c>
      <c r="E72" s="77" t="s">
        <v>29</v>
      </c>
      <c r="F72" s="80" t="s">
        <v>506</v>
      </c>
    </row>
    <row r="73" spans="1:6">
      <c r="A73" s="77"/>
      <c r="B73" s="78"/>
      <c r="C73" s="77"/>
      <c r="D73" s="77"/>
      <c r="E73" s="77"/>
      <c r="F73" s="78"/>
    </row>
    <row r="74" spans="1:6">
      <c r="A74" s="79" t="s">
        <v>501</v>
      </c>
      <c r="B74" s="78" t="s">
        <v>532</v>
      </c>
      <c r="C74" s="77" t="s">
        <v>189</v>
      </c>
      <c r="D74" s="77" t="s">
        <v>504</v>
      </c>
      <c r="E74" s="77" t="s">
        <v>83</v>
      </c>
      <c r="F74" s="80" t="s">
        <v>530</v>
      </c>
    </row>
    <row r="75" spans="1:6">
      <c r="A75" s="79" t="s">
        <v>501</v>
      </c>
      <c r="B75" s="78" t="s">
        <v>532</v>
      </c>
      <c r="C75" s="77" t="s">
        <v>189</v>
      </c>
      <c r="D75" s="77" t="s">
        <v>504</v>
      </c>
      <c r="E75" s="77" t="s">
        <v>144</v>
      </c>
      <c r="F75" s="78" t="s">
        <v>528</v>
      </c>
    </row>
    <row r="76" spans="1:6">
      <c r="A76" s="79" t="s">
        <v>501</v>
      </c>
      <c r="B76" s="78" t="s">
        <v>532</v>
      </c>
      <c r="C76" s="77" t="s">
        <v>189</v>
      </c>
      <c r="D76" s="77" t="s">
        <v>504</v>
      </c>
      <c r="E76" s="77" t="s">
        <v>71</v>
      </c>
      <c r="F76" s="80" t="s">
        <v>516</v>
      </c>
    </row>
    <row r="77" spans="1:6">
      <c r="A77" s="79" t="s">
        <v>501</v>
      </c>
      <c r="B77" s="78" t="s">
        <v>532</v>
      </c>
      <c r="C77" s="77" t="s">
        <v>189</v>
      </c>
      <c r="D77" s="77" t="s">
        <v>508</v>
      </c>
      <c r="E77" s="77" t="s">
        <v>109</v>
      </c>
      <c r="F77" s="80" t="s">
        <v>524</v>
      </c>
    </row>
    <row r="78" spans="1:6">
      <c r="A78" s="77"/>
      <c r="B78" s="78"/>
      <c r="C78" s="77"/>
      <c r="D78" s="77"/>
      <c r="E78" s="77"/>
      <c r="F78" s="78"/>
    </row>
    <row r="79" spans="1:6">
      <c r="A79" s="79" t="s">
        <v>501</v>
      </c>
      <c r="B79" s="78" t="s">
        <v>199</v>
      </c>
      <c r="C79" s="77" t="s">
        <v>198</v>
      </c>
      <c r="D79" s="77" t="s">
        <v>504</v>
      </c>
      <c r="E79" s="77" t="s">
        <v>63</v>
      </c>
      <c r="F79" s="80" t="s">
        <v>515</v>
      </c>
    </row>
    <row r="80" spans="1:6">
      <c r="A80" s="79" t="s">
        <v>501</v>
      </c>
      <c r="B80" s="78" t="s">
        <v>199</v>
      </c>
      <c r="C80" s="77" t="s">
        <v>198</v>
      </c>
      <c r="D80" s="77" t="s">
        <v>508</v>
      </c>
      <c r="E80" s="77" t="s">
        <v>161</v>
      </c>
      <c r="F80" s="80" t="s">
        <v>533</v>
      </c>
    </row>
    <row r="81" spans="1:26">
      <c r="A81" s="77"/>
      <c r="B81" s="78"/>
      <c r="C81" s="77"/>
      <c r="D81" s="77"/>
      <c r="E81" s="77"/>
      <c r="F81" s="78"/>
    </row>
    <row r="82" spans="1:26">
      <c r="A82" s="79" t="s">
        <v>501</v>
      </c>
      <c r="B82" s="78" t="s">
        <v>207</v>
      </c>
      <c r="C82" s="79" t="s">
        <v>206</v>
      </c>
      <c r="D82" s="77" t="s">
        <v>504</v>
      </c>
      <c r="E82" s="77" t="s">
        <v>77</v>
      </c>
      <c r="F82" s="80" t="s">
        <v>517</v>
      </c>
    </row>
    <row r="83" spans="1:26">
      <c r="A83" s="79" t="s">
        <v>501</v>
      </c>
      <c r="B83" s="82" t="s">
        <v>207</v>
      </c>
      <c r="C83" s="79" t="s">
        <v>206</v>
      </c>
      <c r="D83" s="77" t="s">
        <v>508</v>
      </c>
      <c r="E83" s="79" t="s">
        <v>101</v>
      </c>
      <c r="F83" s="80" t="s">
        <v>521</v>
      </c>
    </row>
    <row r="84" spans="1:26">
      <c r="A84" s="79" t="s">
        <v>501</v>
      </c>
      <c r="B84" s="82" t="s">
        <v>207</v>
      </c>
      <c r="C84" s="79" t="s">
        <v>206</v>
      </c>
      <c r="D84" s="77" t="s">
        <v>504</v>
      </c>
      <c r="E84" s="79" t="s">
        <v>83</v>
      </c>
      <c r="F84" s="80" t="s">
        <v>530</v>
      </c>
    </row>
    <row r="85" spans="1:26">
      <c r="A85" s="79" t="s">
        <v>501</v>
      </c>
      <c r="B85" s="82" t="s">
        <v>207</v>
      </c>
      <c r="C85" s="79" t="s">
        <v>206</v>
      </c>
      <c r="D85" s="77" t="s">
        <v>504</v>
      </c>
      <c r="E85" s="79" t="s">
        <v>144</v>
      </c>
      <c r="F85" s="78" t="s">
        <v>528</v>
      </c>
    </row>
    <row r="86" spans="1:26">
      <c r="A86" s="85" t="s">
        <v>501</v>
      </c>
      <c r="B86" s="82" t="s">
        <v>207</v>
      </c>
      <c r="C86" s="79" t="s">
        <v>206</v>
      </c>
      <c r="D86" s="77" t="s">
        <v>504</v>
      </c>
      <c r="E86" s="77" t="s">
        <v>71</v>
      </c>
      <c r="F86" s="80" t="s">
        <v>516</v>
      </c>
    </row>
    <row r="87" spans="1:26">
      <c r="A87" s="77"/>
      <c r="B87" s="78"/>
      <c r="C87" s="77"/>
      <c r="D87" s="79"/>
      <c r="E87" s="77"/>
      <c r="F87" s="80"/>
    </row>
    <row r="88" spans="1:26">
      <c r="A88" s="79" t="s">
        <v>501</v>
      </c>
      <c r="B88" s="78" t="s">
        <v>534</v>
      </c>
      <c r="C88" s="77" t="s">
        <v>214</v>
      </c>
      <c r="D88" s="79" t="s">
        <v>508</v>
      </c>
      <c r="E88" s="77" t="s">
        <v>189</v>
      </c>
      <c r="F88" s="80" t="s">
        <v>535</v>
      </c>
    </row>
    <row r="89" spans="1:26">
      <c r="A89" s="86" t="s">
        <v>501</v>
      </c>
      <c r="B89" s="78" t="s">
        <v>534</v>
      </c>
      <c r="C89" s="77" t="s">
        <v>214</v>
      </c>
      <c r="D89" s="87" t="s">
        <v>504</v>
      </c>
      <c r="E89" s="79" t="s">
        <v>83</v>
      </c>
      <c r="F89" s="80" t="s">
        <v>530</v>
      </c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>
      <c r="A90" s="86" t="s">
        <v>501</v>
      </c>
      <c r="B90" s="78" t="s">
        <v>534</v>
      </c>
      <c r="C90" s="77" t="s">
        <v>214</v>
      </c>
      <c r="D90" s="87" t="s">
        <v>504</v>
      </c>
      <c r="E90" s="79" t="s">
        <v>71</v>
      </c>
      <c r="F90" s="80" t="s">
        <v>516</v>
      </c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>
      <c r="A91" s="88" t="s">
        <v>501</v>
      </c>
      <c r="B91" s="78" t="s">
        <v>534</v>
      </c>
      <c r="C91" s="77" t="s">
        <v>214</v>
      </c>
      <c r="D91" s="89" t="s">
        <v>504</v>
      </c>
      <c r="E91" s="77" t="s">
        <v>144</v>
      </c>
      <c r="F91" s="78" t="s">
        <v>528</v>
      </c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>
      <c r="A92" s="77"/>
      <c r="B92" s="78"/>
      <c r="C92" s="77"/>
      <c r="D92" s="77"/>
      <c r="E92" s="77"/>
      <c r="F92" s="78"/>
    </row>
    <row r="93" spans="1:26">
      <c r="A93" s="79" t="s">
        <v>501</v>
      </c>
      <c r="B93" s="78" t="s">
        <v>222</v>
      </c>
      <c r="C93" s="77" t="s">
        <v>221</v>
      </c>
      <c r="D93" s="77" t="s">
        <v>504</v>
      </c>
      <c r="E93" s="77" t="s">
        <v>161</v>
      </c>
      <c r="F93" s="80" t="s">
        <v>533</v>
      </c>
    </row>
    <row r="94" spans="1:26">
      <c r="A94" s="79" t="s">
        <v>501</v>
      </c>
      <c r="B94" s="78" t="s">
        <v>222</v>
      </c>
      <c r="C94" s="77" t="s">
        <v>221</v>
      </c>
      <c r="D94" s="77" t="s">
        <v>508</v>
      </c>
      <c r="E94" s="77" t="s">
        <v>131</v>
      </c>
      <c r="F94" s="80" t="s">
        <v>529</v>
      </c>
    </row>
    <row r="95" spans="1:26">
      <c r="A95" s="77"/>
      <c r="B95" s="78"/>
      <c r="C95" s="77"/>
      <c r="D95" s="77"/>
      <c r="E95" s="77"/>
      <c r="F95" s="78"/>
    </row>
    <row r="96" spans="1:26">
      <c r="A96" s="79" t="s">
        <v>501</v>
      </c>
      <c r="B96" s="78" t="s">
        <v>536</v>
      </c>
      <c r="C96" s="77" t="s">
        <v>229</v>
      </c>
      <c r="D96" s="77" t="s">
        <v>504</v>
      </c>
      <c r="E96" s="77" t="s">
        <v>88</v>
      </c>
      <c r="F96" s="80" t="s">
        <v>520</v>
      </c>
    </row>
    <row r="97" spans="1:26">
      <c r="A97" s="79" t="s">
        <v>501</v>
      </c>
      <c r="B97" s="78" t="s">
        <v>536</v>
      </c>
      <c r="C97" s="77" t="s">
        <v>229</v>
      </c>
      <c r="D97" s="77" t="s">
        <v>504</v>
      </c>
      <c r="E97" s="79" t="s">
        <v>71</v>
      </c>
      <c r="F97" s="83" t="s">
        <v>516</v>
      </c>
    </row>
    <row r="98" spans="1:26">
      <c r="A98" s="77"/>
      <c r="B98" s="78"/>
      <c r="C98" s="77"/>
      <c r="D98" s="77"/>
      <c r="E98" s="77"/>
      <c r="F98" s="78"/>
    </row>
    <row r="99" spans="1:26">
      <c r="A99" s="79" t="s">
        <v>501</v>
      </c>
      <c r="B99" s="78" t="s">
        <v>537</v>
      </c>
      <c r="C99" s="77" t="s">
        <v>235</v>
      </c>
      <c r="D99" s="77" t="s">
        <v>504</v>
      </c>
      <c r="E99" s="77" t="s">
        <v>50</v>
      </c>
      <c r="F99" s="80" t="s">
        <v>514</v>
      </c>
    </row>
    <row r="100" spans="1:26">
      <c r="A100" s="79" t="s">
        <v>501</v>
      </c>
      <c r="B100" s="78" t="s">
        <v>537</v>
      </c>
      <c r="C100" s="77" t="s">
        <v>235</v>
      </c>
      <c r="D100" s="77" t="s">
        <v>504</v>
      </c>
      <c r="E100" s="77" t="s">
        <v>77</v>
      </c>
      <c r="F100" s="80" t="s">
        <v>517</v>
      </c>
    </row>
    <row r="101" spans="1:26">
      <c r="A101" s="86" t="s">
        <v>501</v>
      </c>
      <c r="B101" s="78" t="s">
        <v>537</v>
      </c>
      <c r="C101" s="77" t="s">
        <v>235</v>
      </c>
      <c r="D101" s="90" t="s">
        <v>504</v>
      </c>
      <c r="E101" s="77" t="s">
        <v>29</v>
      </c>
      <c r="F101" s="80" t="s">
        <v>506</v>
      </c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>
      <c r="A102" s="79" t="s">
        <v>501</v>
      </c>
      <c r="B102" s="78" t="s">
        <v>537</v>
      </c>
      <c r="C102" s="77" t="s">
        <v>235</v>
      </c>
      <c r="D102" s="77" t="s">
        <v>508</v>
      </c>
      <c r="E102" s="77" t="s">
        <v>161</v>
      </c>
      <c r="F102" s="80" t="s">
        <v>533</v>
      </c>
    </row>
    <row r="103" spans="1:26">
      <c r="A103" s="77"/>
      <c r="B103" s="78"/>
      <c r="C103" s="77"/>
      <c r="D103" s="77"/>
      <c r="E103" s="77"/>
      <c r="F103" s="78"/>
    </row>
    <row r="104" spans="1:26">
      <c r="A104" s="79" t="s">
        <v>501</v>
      </c>
      <c r="B104" s="78" t="s">
        <v>245</v>
      </c>
      <c r="C104" s="77" t="s">
        <v>244</v>
      </c>
      <c r="D104" s="77" t="s">
        <v>504</v>
      </c>
      <c r="E104" s="77" t="s">
        <v>161</v>
      </c>
      <c r="F104" s="80" t="s">
        <v>533</v>
      </c>
    </row>
    <row r="105" spans="1:26">
      <c r="A105" s="79" t="s">
        <v>501</v>
      </c>
      <c r="B105" s="78" t="s">
        <v>245</v>
      </c>
      <c r="C105" s="77" t="s">
        <v>244</v>
      </c>
      <c r="D105" s="77" t="s">
        <v>508</v>
      </c>
      <c r="E105" s="77" t="s">
        <v>198</v>
      </c>
      <c r="F105" s="80" t="s">
        <v>538</v>
      </c>
    </row>
    <row r="106" spans="1:26">
      <c r="A106" s="79" t="s">
        <v>501</v>
      </c>
      <c r="B106" s="78" t="s">
        <v>245</v>
      </c>
      <c r="C106" s="77" t="s">
        <v>244</v>
      </c>
      <c r="D106" s="79" t="s">
        <v>508</v>
      </c>
      <c r="E106" s="77" t="s">
        <v>131</v>
      </c>
      <c r="F106" s="80" t="s">
        <v>529</v>
      </c>
    </row>
    <row r="107" spans="1:26">
      <c r="A107" s="77"/>
      <c r="B107" s="78"/>
      <c r="C107" s="77"/>
      <c r="D107" s="77"/>
      <c r="E107" s="77"/>
      <c r="F107" s="78"/>
    </row>
    <row r="108" spans="1:26">
      <c r="A108" s="79" t="s">
        <v>501</v>
      </c>
      <c r="B108" s="78" t="s">
        <v>253</v>
      </c>
      <c r="C108" s="77" t="s">
        <v>252</v>
      </c>
      <c r="D108" s="77" t="s">
        <v>504</v>
      </c>
      <c r="E108" s="77" t="s">
        <v>101</v>
      </c>
      <c r="F108" s="80" t="s">
        <v>521</v>
      </c>
    </row>
    <row r="109" spans="1:26">
      <c r="A109" s="79" t="s">
        <v>501</v>
      </c>
      <c r="B109" s="78" t="s">
        <v>253</v>
      </c>
      <c r="C109" s="77" t="s">
        <v>252</v>
      </c>
      <c r="D109" s="77" t="s">
        <v>504</v>
      </c>
      <c r="E109" s="77" t="s">
        <v>124</v>
      </c>
      <c r="F109" s="80" t="s">
        <v>527</v>
      </c>
    </row>
    <row r="110" spans="1:26">
      <c r="A110" s="79" t="s">
        <v>501</v>
      </c>
      <c r="B110" s="78" t="s">
        <v>253</v>
      </c>
      <c r="C110" s="77" t="s">
        <v>252</v>
      </c>
      <c r="D110" s="77" t="s">
        <v>504</v>
      </c>
      <c r="E110" s="77" t="s">
        <v>144</v>
      </c>
      <c r="F110" s="78" t="s">
        <v>528</v>
      </c>
    </row>
    <row r="111" spans="1:26">
      <c r="A111" s="79" t="s">
        <v>501</v>
      </c>
      <c r="B111" s="78" t="s">
        <v>253</v>
      </c>
      <c r="C111" s="77" t="s">
        <v>252</v>
      </c>
      <c r="D111" s="77" t="s">
        <v>508</v>
      </c>
      <c r="E111" s="77" t="s">
        <v>131</v>
      </c>
      <c r="F111" s="80" t="s">
        <v>529</v>
      </c>
    </row>
    <row r="112" spans="1:26">
      <c r="A112" s="77"/>
      <c r="B112" s="78"/>
      <c r="C112" s="77"/>
      <c r="D112" s="77"/>
      <c r="E112" s="77"/>
      <c r="F112" s="78"/>
    </row>
    <row r="113" spans="1:6">
      <c r="A113" s="79" t="s">
        <v>501</v>
      </c>
      <c r="B113" s="78" t="s">
        <v>261</v>
      </c>
      <c r="C113" s="77" t="s">
        <v>260</v>
      </c>
      <c r="D113" s="77" t="s">
        <v>504</v>
      </c>
      <c r="E113" s="77" t="s">
        <v>206</v>
      </c>
      <c r="F113" s="80" t="s">
        <v>539</v>
      </c>
    </row>
    <row r="114" spans="1:6">
      <c r="A114" s="85" t="s">
        <v>501</v>
      </c>
      <c r="B114" s="78" t="s">
        <v>261</v>
      </c>
      <c r="C114" s="77" t="s">
        <v>260</v>
      </c>
      <c r="D114" s="79" t="s">
        <v>508</v>
      </c>
      <c r="E114" s="77" t="s">
        <v>88</v>
      </c>
      <c r="F114" s="80" t="s">
        <v>520</v>
      </c>
    </row>
    <row r="115" spans="1:6">
      <c r="A115" s="77"/>
      <c r="B115" s="78"/>
      <c r="C115" s="77"/>
      <c r="D115" s="79"/>
      <c r="E115" s="79"/>
      <c r="F115" s="83"/>
    </row>
    <row r="116" spans="1:6">
      <c r="A116" s="79" t="s">
        <v>501</v>
      </c>
      <c r="B116" s="78" t="s">
        <v>540</v>
      </c>
      <c r="C116" s="77" t="s">
        <v>268</v>
      </c>
      <c r="D116" s="77" t="s">
        <v>504</v>
      </c>
      <c r="E116" s="77" t="s">
        <v>229</v>
      </c>
      <c r="F116" s="80" t="s">
        <v>541</v>
      </c>
    </row>
    <row r="117" spans="1:6">
      <c r="A117" s="79" t="s">
        <v>501</v>
      </c>
      <c r="B117" s="78" t="s">
        <v>540</v>
      </c>
      <c r="C117" s="77" t="s">
        <v>268</v>
      </c>
      <c r="D117" s="79" t="s">
        <v>504</v>
      </c>
      <c r="E117" s="79" t="s">
        <v>63</v>
      </c>
      <c r="F117" s="83" t="s">
        <v>515</v>
      </c>
    </row>
    <row r="118" spans="1:6">
      <c r="A118" s="79" t="s">
        <v>501</v>
      </c>
      <c r="B118" s="78" t="s">
        <v>540</v>
      </c>
      <c r="C118" s="77" t="s">
        <v>268</v>
      </c>
      <c r="D118" s="77" t="s">
        <v>508</v>
      </c>
      <c r="E118" s="77" t="s">
        <v>161</v>
      </c>
      <c r="F118" s="80" t="s">
        <v>533</v>
      </c>
    </row>
    <row r="119" spans="1:6">
      <c r="A119" s="77"/>
      <c r="B119" s="78"/>
      <c r="C119" s="77"/>
      <c r="D119" s="77"/>
      <c r="E119" s="77"/>
      <c r="F119" s="78"/>
    </row>
    <row r="120" spans="1:6">
      <c r="A120" s="79" t="s">
        <v>501</v>
      </c>
      <c r="B120" s="78" t="s">
        <v>183</v>
      </c>
      <c r="C120" s="77" t="s">
        <v>182</v>
      </c>
      <c r="D120" s="77" t="s">
        <v>504</v>
      </c>
      <c r="E120" s="77" t="s">
        <v>37</v>
      </c>
      <c r="F120" s="80" t="s">
        <v>509</v>
      </c>
    </row>
    <row r="121" spans="1:6">
      <c r="A121" s="79" t="s">
        <v>501</v>
      </c>
      <c r="B121" s="78" t="s">
        <v>183</v>
      </c>
      <c r="C121" s="77" t="s">
        <v>182</v>
      </c>
      <c r="D121" s="77" t="s">
        <v>504</v>
      </c>
      <c r="E121" s="77" t="s">
        <v>109</v>
      </c>
      <c r="F121" s="80" t="s">
        <v>524</v>
      </c>
    </row>
    <row r="122" spans="1:6">
      <c r="A122" s="79" t="s">
        <v>501</v>
      </c>
      <c r="B122" s="78" t="s">
        <v>183</v>
      </c>
      <c r="C122" s="77" t="s">
        <v>182</v>
      </c>
      <c r="D122" s="77" t="s">
        <v>504</v>
      </c>
      <c r="E122" s="77" t="s">
        <v>101</v>
      </c>
      <c r="F122" s="80" t="s">
        <v>521</v>
      </c>
    </row>
    <row r="123" spans="1:6">
      <c r="A123" s="79" t="s">
        <v>501</v>
      </c>
      <c r="B123" s="78" t="s">
        <v>183</v>
      </c>
      <c r="C123" s="77" t="s">
        <v>182</v>
      </c>
      <c r="D123" s="77" t="s">
        <v>504</v>
      </c>
      <c r="E123" s="77" t="s">
        <v>77</v>
      </c>
      <c r="F123" s="80" t="s">
        <v>517</v>
      </c>
    </row>
    <row r="124" spans="1:6">
      <c r="A124" s="77"/>
      <c r="B124" s="78"/>
      <c r="C124" s="77"/>
      <c r="D124" s="77"/>
      <c r="E124" s="77"/>
      <c r="F124" s="78"/>
    </row>
    <row r="125" spans="1:6">
      <c r="A125" s="79" t="s">
        <v>501</v>
      </c>
      <c r="B125" s="78" t="s">
        <v>275</v>
      </c>
      <c r="C125" s="77" t="s">
        <v>274</v>
      </c>
      <c r="D125" s="77" t="s">
        <v>504</v>
      </c>
      <c r="E125" s="77" t="s">
        <v>182</v>
      </c>
      <c r="F125" s="80" t="s">
        <v>542</v>
      </c>
    </row>
    <row r="126" spans="1:6">
      <c r="A126" s="79" t="s">
        <v>501</v>
      </c>
      <c r="B126" s="80" t="s">
        <v>275</v>
      </c>
      <c r="C126" s="77" t="s">
        <v>274</v>
      </c>
      <c r="D126" s="79" t="s">
        <v>504</v>
      </c>
      <c r="E126" s="79" t="s">
        <v>543</v>
      </c>
      <c r="F126" s="82" t="s">
        <v>544</v>
      </c>
    </row>
    <row r="127" spans="1:6">
      <c r="A127" s="77"/>
      <c r="B127" s="78"/>
      <c r="C127" s="77"/>
      <c r="D127" s="77"/>
      <c r="E127" s="77"/>
      <c r="F127" s="78"/>
    </row>
    <row r="128" spans="1:6">
      <c r="A128" s="79" t="s">
        <v>501</v>
      </c>
      <c r="B128" s="78" t="s">
        <v>280</v>
      </c>
      <c r="C128" s="77" t="s">
        <v>279</v>
      </c>
      <c r="D128" s="79" t="s">
        <v>504</v>
      </c>
      <c r="E128" s="77" t="s">
        <v>274</v>
      </c>
      <c r="F128" s="80" t="s">
        <v>545</v>
      </c>
    </row>
    <row r="129" spans="1:6">
      <c r="A129" s="79" t="s">
        <v>501</v>
      </c>
      <c r="B129" s="78" t="s">
        <v>280</v>
      </c>
      <c r="C129" s="77" t="s">
        <v>279</v>
      </c>
      <c r="D129" s="79" t="s">
        <v>504</v>
      </c>
      <c r="E129" s="79" t="s">
        <v>546</v>
      </c>
      <c r="F129" s="83" t="s">
        <v>547</v>
      </c>
    </row>
    <row r="130" spans="1:6">
      <c r="A130" s="77"/>
      <c r="B130" s="78"/>
      <c r="C130" s="77"/>
      <c r="D130" s="77"/>
      <c r="E130" s="77"/>
      <c r="F130" s="78"/>
    </row>
    <row r="131" spans="1:6">
      <c r="A131" s="79" t="s">
        <v>501</v>
      </c>
      <c r="B131" s="78" t="s">
        <v>280</v>
      </c>
      <c r="C131" s="77" t="s">
        <v>282</v>
      </c>
      <c r="D131" s="79" t="s">
        <v>508</v>
      </c>
      <c r="E131" s="77" t="s">
        <v>279</v>
      </c>
      <c r="F131" s="80" t="s">
        <v>548</v>
      </c>
    </row>
    <row r="132" spans="1:6">
      <c r="A132" s="49"/>
      <c r="C132" s="49"/>
      <c r="D132" s="49"/>
      <c r="E132" s="49"/>
    </row>
    <row r="133" spans="1:6">
      <c r="A133" s="49"/>
      <c r="C133" s="49"/>
      <c r="D133" s="49"/>
      <c r="E133" s="49"/>
    </row>
    <row r="134" spans="1:6">
      <c r="A134" s="49"/>
      <c r="B134" s="12" t="s">
        <v>549</v>
      </c>
      <c r="C134" s="49"/>
      <c r="D134" s="49"/>
      <c r="E134" s="49"/>
    </row>
    <row r="135" spans="1:6">
      <c r="A135" s="13" t="s">
        <v>550</v>
      </c>
      <c r="B135" s="12" t="s">
        <v>391</v>
      </c>
      <c r="C135" s="13" t="s">
        <v>390</v>
      </c>
      <c r="D135" s="13" t="s">
        <v>504</v>
      </c>
      <c r="E135" s="13" t="s">
        <v>77</v>
      </c>
      <c r="F135" s="12" t="s">
        <v>511</v>
      </c>
    </row>
    <row r="136" spans="1:6">
      <c r="A136" s="13" t="s">
        <v>550</v>
      </c>
      <c r="B136" s="12" t="s">
        <v>391</v>
      </c>
      <c r="C136" s="13" t="s">
        <v>390</v>
      </c>
      <c r="D136" s="13" t="s">
        <v>504</v>
      </c>
      <c r="E136" s="13" t="s">
        <v>214</v>
      </c>
      <c r="F136" s="12" t="s">
        <v>534</v>
      </c>
    </row>
    <row r="137" spans="1:6">
      <c r="A137" s="49"/>
      <c r="C137" s="49"/>
      <c r="D137" s="49"/>
      <c r="E137" s="49"/>
    </row>
    <row r="138" spans="1:6">
      <c r="A138" s="91" t="s">
        <v>550</v>
      </c>
      <c r="B138" s="92" t="s">
        <v>551</v>
      </c>
      <c r="C138" s="91" t="s">
        <v>318</v>
      </c>
      <c r="D138" s="91" t="s">
        <v>508</v>
      </c>
      <c r="E138" s="91" t="s">
        <v>177</v>
      </c>
      <c r="F138" s="92" t="s">
        <v>552</v>
      </c>
    </row>
    <row r="139" spans="1:6">
      <c r="A139" s="49"/>
      <c r="C139" s="49"/>
      <c r="D139" s="49"/>
      <c r="E139" s="49"/>
    </row>
    <row r="140" spans="1:6">
      <c r="A140" s="49"/>
      <c r="C140" s="49"/>
      <c r="D140" s="49"/>
      <c r="E140" s="49"/>
    </row>
    <row r="141" spans="1:6">
      <c r="A141" s="49"/>
      <c r="C141" s="49"/>
      <c r="D141" s="49"/>
      <c r="E141" s="49"/>
    </row>
    <row r="142" spans="1:6">
      <c r="A142" s="49"/>
      <c r="C142" s="49"/>
      <c r="D142" s="49"/>
      <c r="E142" s="49"/>
    </row>
    <row r="143" spans="1:6">
      <c r="A143" s="49"/>
      <c r="C143" s="49"/>
      <c r="D143" s="49"/>
      <c r="E143" s="49"/>
    </row>
    <row r="144" spans="1:6">
      <c r="A144" s="49"/>
      <c r="C144" s="49"/>
      <c r="D144" s="49"/>
      <c r="E144" s="49"/>
    </row>
    <row r="145" spans="1:5">
      <c r="A145" s="49"/>
      <c r="C145" s="49"/>
      <c r="D145" s="49"/>
      <c r="E145" s="49"/>
    </row>
    <row r="146" spans="1:5">
      <c r="A146" s="49"/>
      <c r="C146" s="49"/>
      <c r="D146" s="49"/>
      <c r="E146" s="49"/>
    </row>
    <row r="147" spans="1:5">
      <c r="A147" s="49"/>
      <c r="C147" s="49"/>
      <c r="D147" s="49"/>
      <c r="E147" s="49"/>
    </row>
    <row r="148" spans="1:5">
      <c r="A148" s="49"/>
      <c r="C148" s="49"/>
      <c r="D148" s="49"/>
      <c r="E148" s="49"/>
    </row>
    <row r="149" spans="1:5">
      <c r="A149" s="49"/>
      <c r="C149" s="49"/>
      <c r="D149" s="49"/>
      <c r="E149" s="49"/>
    </row>
    <row r="150" spans="1:5">
      <c r="A150" s="49"/>
      <c r="C150" s="49"/>
      <c r="D150" s="49"/>
      <c r="E150" s="49"/>
    </row>
    <row r="151" spans="1:5">
      <c r="A151" s="49"/>
      <c r="C151" s="49"/>
      <c r="D151" s="49"/>
      <c r="E151" s="49"/>
    </row>
    <row r="152" spans="1:5">
      <c r="A152" s="49"/>
      <c r="C152" s="49"/>
      <c r="D152" s="49"/>
      <c r="E152" s="49"/>
    </row>
    <row r="153" spans="1:5">
      <c r="A153" s="49"/>
      <c r="C153" s="49"/>
      <c r="D153" s="49"/>
      <c r="E153" s="49"/>
    </row>
    <row r="154" spans="1:5">
      <c r="A154" s="49"/>
      <c r="C154" s="49"/>
      <c r="D154" s="49"/>
      <c r="E154" s="49"/>
    </row>
    <row r="155" spans="1:5">
      <c r="A155" s="49"/>
      <c r="C155" s="49"/>
      <c r="D155" s="49"/>
      <c r="E155" s="49"/>
    </row>
    <row r="156" spans="1:5">
      <c r="A156" s="49"/>
      <c r="C156" s="49"/>
      <c r="D156" s="49"/>
      <c r="E156" s="49"/>
    </row>
    <row r="157" spans="1:5">
      <c r="A157" s="49"/>
      <c r="C157" s="49"/>
      <c r="D157" s="49"/>
      <c r="E157" s="49"/>
    </row>
    <row r="158" spans="1:5">
      <c r="A158" s="49"/>
      <c r="C158" s="49"/>
      <c r="D158" s="49"/>
      <c r="E158" s="49"/>
    </row>
    <row r="159" spans="1:5">
      <c r="A159" s="49"/>
      <c r="C159" s="49"/>
      <c r="D159" s="49"/>
      <c r="E159" s="49"/>
    </row>
    <row r="160" spans="1:5">
      <c r="A160" s="49"/>
      <c r="C160" s="49"/>
      <c r="D160" s="49"/>
      <c r="E160" s="49"/>
    </row>
    <row r="161" spans="1:5">
      <c r="A161" s="49"/>
      <c r="C161" s="49"/>
      <c r="D161" s="49"/>
      <c r="E161" s="49"/>
    </row>
    <row r="162" spans="1:5">
      <c r="A162" s="49"/>
      <c r="C162" s="49"/>
      <c r="D162" s="49"/>
      <c r="E162" s="49"/>
    </row>
    <row r="163" spans="1:5">
      <c r="A163" s="49"/>
      <c r="C163" s="49"/>
      <c r="D163" s="49"/>
      <c r="E163" s="49"/>
    </row>
    <row r="164" spans="1:5">
      <c r="A164" s="49"/>
      <c r="C164" s="49"/>
      <c r="D164" s="49"/>
      <c r="E164" s="49"/>
    </row>
    <row r="165" spans="1:5">
      <c r="A165" s="49"/>
      <c r="C165" s="49"/>
      <c r="D165" s="49"/>
      <c r="E165" s="49"/>
    </row>
    <row r="166" spans="1:5">
      <c r="A166" s="49"/>
      <c r="C166" s="49"/>
      <c r="D166" s="49"/>
      <c r="E166" s="49"/>
    </row>
    <row r="167" spans="1:5">
      <c r="A167" s="49"/>
      <c r="C167" s="49"/>
      <c r="D167" s="49"/>
      <c r="E167" s="49"/>
    </row>
    <row r="168" spans="1:5">
      <c r="A168" s="49"/>
      <c r="C168" s="49"/>
      <c r="D168" s="49"/>
      <c r="E168" s="49"/>
    </row>
    <row r="169" spans="1:5">
      <c r="A169" s="49"/>
      <c r="C169" s="49"/>
      <c r="D169" s="49"/>
      <c r="E169" s="49"/>
    </row>
    <row r="170" spans="1:5">
      <c r="A170" s="49"/>
      <c r="C170" s="49"/>
      <c r="D170" s="49"/>
      <c r="E170" s="49"/>
    </row>
    <row r="171" spans="1:5">
      <c r="A171" s="49"/>
      <c r="C171" s="49"/>
      <c r="D171" s="49"/>
      <c r="E171" s="49"/>
    </row>
    <row r="172" spans="1:5">
      <c r="A172" s="49"/>
      <c r="C172" s="49"/>
      <c r="D172" s="49"/>
      <c r="E172" s="49"/>
    </row>
    <row r="173" spans="1:5">
      <c r="A173" s="49"/>
      <c r="C173" s="49"/>
      <c r="D173" s="49"/>
      <c r="E173" s="49"/>
    </row>
    <row r="174" spans="1:5">
      <c r="A174" s="49"/>
      <c r="C174" s="49"/>
      <c r="D174" s="49"/>
      <c r="E174" s="49"/>
    </row>
    <row r="175" spans="1:5">
      <c r="A175" s="49"/>
      <c r="C175" s="49"/>
      <c r="D175" s="49"/>
      <c r="E175" s="49"/>
    </row>
    <row r="176" spans="1:5">
      <c r="A176" s="49"/>
      <c r="C176" s="49"/>
      <c r="D176" s="49"/>
      <c r="E176" s="49"/>
    </row>
    <row r="177" spans="1:5">
      <c r="A177" s="49"/>
      <c r="C177" s="49"/>
      <c r="D177" s="49"/>
      <c r="E177" s="49"/>
    </row>
    <row r="178" spans="1:5">
      <c r="A178" s="49"/>
      <c r="C178" s="49"/>
      <c r="D178" s="49"/>
      <c r="E178" s="49"/>
    </row>
    <row r="179" spans="1:5">
      <c r="A179" s="49"/>
      <c r="C179" s="49"/>
      <c r="D179" s="49"/>
      <c r="E179" s="49"/>
    </row>
    <row r="180" spans="1:5">
      <c r="A180" s="49"/>
      <c r="C180" s="49"/>
      <c r="D180" s="49"/>
      <c r="E180" s="49"/>
    </row>
    <row r="181" spans="1:5">
      <c r="A181" s="49"/>
      <c r="C181" s="49"/>
      <c r="D181" s="49"/>
      <c r="E181" s="49"/>
    </row>
    <row r="182" spans="1:5">
      <c r="A182" s="49"/>
      <c r="C182" s="49"/>
      <c r="D182" s="49"/>
      <c r="E182" s="49"/>
    </row>
    <row r="183" spans="1:5">
      <c r="A183" s="49"/>
      <c r="C183" s="49"/>
      <c r="D183" s="49"/>
      <c r="E183" s="49"/>
    </row>
    <row r="184" spans="1:5">
      <c r="A184" s="49"/>
      <c r="C184" s="49"/>
      <c r="D184" s="49"/>
      <c r="E184" s="49"/>
    </row>
    <row r="185" spans="1:5">
      <c r="A185" s="49"/>
      <c r="C185" s="49"/>
      <c r="D185" s="49"/>
      <c r="E185" s="49"/>
    </row>
    <row r="186" spans="1:5">
      <c r="A186" s="49"/>
      <c r="C186" s="49"/>
      <c r="D186" s="49"/>
      <c r="E186" s="49"/>
    </row>
    <row r="187" spans="1:5">
      <c r="A187" s="49"/>
      <c r="C187" s="49"/>
      <c r="D187" s="49"/>
      <c r="E187" s="49"/>
    </row>
    <row r="188" spans="1:5">
      <c r="A188" s="49"/>
      <c r="C188" s="49"/>
      <c r="D188" s="49"/>
      <c r="E188" s="49"/>
    </row>
    <row r="189" spans="1:5">
      <c r="A189" s="49"/>
      <c r="C189" s="49"/>
      <c r="D189" s="49"/>
      <c r="E189" s="49"/>
    </row>
    <row r="190" spans="1:5">
      <c r="A190" s="49"/>
      <c r="C190" s="49"/>
      <c r="D190" s="49"/>
      <c r="E190" s="49"/>
    </row>
    <row r="191" spans="1:5">
      <c r="A191" s="49"/>
      <c r="C191" s="49"/>
      <c r="D191" s="49"/>
      <c r="E191" s="49"/>
    </row>
    <row r="192" spans="1:5">
      <c r="A192" s="49"/>
      <c r="C192" s="49"/>
      <c r="D192" s="49"/>
      <c r="E192" s="49"/>
    </row>
    <row r="193" spans="1:5">
      <c r="A193" s="49"/>
      <c r="C193" s="49"/>
      <c r="D193" s="49"/>
      <c r="E193" s="49"/>
    </row>
    <row r="194" spans="1:5">
      <c r="A194" s="49"/>
      <c r="C194" s="49"/>
      <c r="D194" s="49"/>
      <c r="E194" s="49"/>
    </row>
    <row r="195" spans="1:5">
      <c r="A195" s="49"/>
      <c r="C195" s="49"/>
      <c r="D195" s="49"/>
      <c r="E195" s="49"/>
    </row>
    <row r="196" spans="1:5">
      <c r="A196" s="49"/>
      <c r="C196" s="49"/>
      <c r="D196" s="49"/>
      <c r="E196" s="49"/>
    </row>
    <row r="197" spans="1:5">
      <c r="A197" s="49"/>
      <c r="C197" s="49"/>
      <c r="D197" s="49"/>
      <c r="E197" s="49"/>
    </row>
    <row r="198" spans="1:5">
      <c r="A198" s="49"/>
      <c r="C198" s="49"/>
      <c r="D198" s="49"/>
      <c r="E198" s="49"/>
    </row>
    <row r="199" spans="1:5">
      <c r="A199" s="49"/>
      <c r="C199" s="49"/>
      <c r="D199" s="49"/>
      <c r="E199" s="49"/>
    </row>
    <row r="200" spans="1:5">
      <c r="A200" s="49"/>
      <c r="C200" s="49"/>
      <c r="D200" s="49"/>
      <c r="E200" s="49"/>
    </row>
    <row r="201" spans="1:5">
      <c r="A201" s="49"/>
      <c r="C201" s="49"/>
      <c r="D201" s="49"/>
      <c r="E201" s="49"/>
    </row>
    <row r="202" spans="1:5">
      <c r="A202" s="49"/>
      <c r="C202" s="49"/>
      <c r="D202" s="49"/>
      <c r="E202" s="49"/>
    </row>
    <row r="203" spans="1:5">
      <c r="A203" s="49"/>
      <c r="C203" s="49"/>
      <c r="D203" s="49"/>
      <c r="E203" s="49"/>
    </row>
    <row r="204" spans="1:5">
      <c r="A204" s="49"/>
      <c r="C204" s="49"/>
      <c r="D204" s="49"/>
      <c r="E204" s="49"/>
    </row>
    <row r="205" spans="1:5">
      <c r="A205" s="49"/>
      <c r="C205" s="49"/>
      <c r="D205" s="49"/>
      <c r="E205" s="49"/>
    </row>
    <row r="206" spans="1:5">
      <c r="A206" s="49"/>
      <c r="C206" s="49"/>
      <c r="D206" s="49"/>
      <c r="E206" s="49"/>
    </row>
    <row r="207" spans="1:5">
      <c r="A207" s="49"/>
      <c r="C207" s="49"/>
      <c r="D207" s="49"/>
      <c r="E207" s="49"/>
    </row>
    <row r="208" spans="1:5">
      <c r="A208" s="49"/>
      <c r="C208" s="49"/>
      <c r="D208" s="49"/>
      <c r="E208" s="49"/>
    </row>
    <row r="209" spans="1:5">
      <c r="A209" s="49"/>
      <c r="C209" s="49"/>
      <c r="D209" s="49"/>
      <c r="E209" s="49"/>
    </row>
    <row r="210" spans="1:5">
      <c r="A210" s="49"/>
      <c r="C210" s="49"/>
      <c r="D210" s="49"/>
      <c r="E210" s="49"/>
    </row>
    <row r="211" spans="1:5">
      <c r="A211" s="49"/>
      <c r="C211" s="49"/>
      <c r="D211" s="49"/>
      <c r="E211" s="49"/>
    </row>
    <row r="212" spans="1:5">
      <c r="A212" s="49"/>
      <c r="C212" s="49"/>
      <c r="D212" s="49"/>
      <c r="E212" s="49"/>
    </row>
    <row r="213" spans="1:5">
      <c r="A213" s="49"/>
      <c r="C213" s="49"/>
      <c r="D213" s="49"/>
      <c r="E213" s="49"/>
    </row>
    <row r="214" spans="1:5">
      <c r="A214" s="49"/>
      <c r="C214" s="49"/>
      <c r="D214" s="49"/>
      <c r="E214" s="49"/>
    </row>
    <row r="215" spans="1:5">
      <c r="A215" s="49"/>
      <c r="C215" s="49"/>
      <c r="D215" s="49"/>
      <c r="E215" s="49"/>
    </row>
    <row r="216" spans="1:5">
      <c r="A216" s="49"/>
      <c r="C216" s="49"/>
      <c r="D216" s="49"/>
      <c r="E216" s="49"/>
    </row>
    <row r="217" spans="1:5">
      <c r="A217" s="49"/>
      <c r="C217" s="49"/>
      <c r="D217" s="49"/>
      <c r="E217" s="49"/>
    </row>
    <row r="218" spans="1:5">
      <c r="A218" s="49"/>
      <c r="C218" s="49"/>
      <c r="D218" s="49"/>
      <c r="E218" s="49"/>
    </row>
    <row r="219" spans="1:5">
      <c r="A219" s="49"/>
      <c r="C219" s="49"/>
      <c r="D219" s="49"/>
      <c r="E219" s="49"/>
    </row>
    <row r="220" spans="1:5">
      <c r="A220" s="49"/>
      <c r="C220" s="49"/>
      <c r="D220" s="49"/>
      <c r="E220" s="49"/>
    </row>
    <row r="221" spans="1:5">
      <c r="A221" s="49"/>
      <c r="C221" s="49"/>
      <c r="D221" s="49"/>
      <c r="E221" s="49"/>
    </row>
    <row r="222" spans="1:5">
      <c r="A222" s="49"/>
      <c r="C222" s="49"/>
      <c r="D222" s="49"/>
      <c r="E222" s="49"/>
    </row>
    <row r="223" spans="1:5">
      <c r="A223" s="49"/>
      <c r="C223" s="49"/>
      <c r="D223" s="49"/>
      <c r="E223" s="49"/>
    </row>
    <row r="224" spans="1:5">
      <c r="A224" s="49"/>
      <c r="C224" s="49"/>
      <c r="D224" s="49"/>
      <c r="E224" s="49"/>
    </row>
    <row r="225" spans="1:5">
      <c r="A225" s="49"/>
      <c r="C225" s="49"/>
      <c r="D225" s="49"/>
      <c r="E225" s="49"/>
    </row>
    <row r="226" spans="1:5">
      <c r="A226" s="49"/>
      <c r="C226" s="49"/>
      <c r="D226" s="49"/>
      <c r="E226" s="49"/>
    </row>
    <row r="227" spans="1:5">
      <c r="A227" s="49"/>
      <c r="C227" s="49"/>
      <c r="D227" s="49"/>
      <c r="E227" s="49"/>
    </row>
    <row r="228" spans="1:5">
      <c r="A228" s="49"/>
      <c r="C228" s="49"/>
      <c r="D228" s="49"/>
      <c r="E228" s="49"/>
    </row>
    <row r="229" spans="1:5">
      <c r="A229" s="49"/>
      <c r="C229" s="49"/>
      <c r="D229" s="49"/>
      <c r="E229" s="49"/>
    </row>
    <row r="230" spans="1:5">
      <c r="A230" s="49"/>
      <c r="C230" s="49"/>
      <c r="D230" s="49"/>
      <c r="E230" s="49"/>
    </row>
    <row r="231" spans="1:5">
      <c r="A231" s="49"/>
      <c r="C231" s="49"/>
      <c r="D231" s="49"/>
      <c r="E231" s="49"/>
    </row>
    <row r="232" spans="1:5">
      <c r="A232" s="49"/>
      <c r="C232" s="49"/>
      <c r="D232" s="49"/>
      <c r="E232" s="49"/>
    </row>
    <row r="233" spans="1:5">
      <c r="A233" s="49"/>
      <c r="C233" s="49"/>
      <c r="D233" s="49"/>
      <c r="E233" s="49"/>
    </row>
    <row r="234" spans="1:5">
      <c r="A234" s="49"/>
      <c r="C234" s="49"/>
      <c r="D234" s="49"/>
      <c r="E234" s="49"/>
    </row>
    <row r="235" spans="1:5">
      <c r="A235" s="49"/>
      <c r="C235" s="49"/>
      <c r="D235" s="49"/>
      <c r="E235" s="49"/>
    </row>
    <row r="236" spans="1:5">
      <c r="A236" s="49"/>
      <c r="C236" s="49"/>
      <c r="D236" s="49"/>
      <c r="E236" s="49"/>
    </row>
    <row r="237" spans="1:5">
      <c r="A237" s="49"/>
      <c r="C237" s="49"/>
      <c r="D237" s="49"/>
      <c r="E237" s="49"/>
    </row>
    <row r="238" spans="1:5">
      <c r="A238" s="49"/>
      <c r="C238" s="49"/>
      <c r="D238" s="49"/>
      <c r="E238" s="49"/>
    </row>
    <row r="239" spans="1:5">
      <c r="A239" s="49"/>
      <c r="C239" s="49"/>
      <c r="D239" s="49"/>
      <c r="E239" s="49"/>
    </row>
    <row r="240" spans="1:5">
      <c r="A240" s="49"/>
      <c r="C240" s="49"/>
      <c r="D240" s="49"/>
      <c r="E240" s="49"/>
    </row>
    <row r="241" spans="1:5">
      <c r="A241" s="49"/>
      <c r="C241" s="49"/>
      <c r="D241" s="49"/>
      <c r="E241" s="49"/>
    </row>
    <row r="242" spans="1:5">
      <c r="A242" s="49"/>
      <c r="C242" s="49"/>
      <c r="D242" s="49"/>
      <c r="E242" s="49"/>
    </row>
    <row r="243" spans="1:5">
      <c r="A243" s="49"/>
      <c r="C243" s="49"/>
      <c r="D243" s="49"/>
      <c r="E243" s="49"/>
    </row>
    <row r="244" spans="1:5">
      <c r="A244" s="49"/>
      <c r="C244" s="49"/>
      <c r="D244" s="49"/>
      <c r="E244" s="49"/>
    </row>
    <row r="245" spans="1:5">
      <c r="A245" s="49"/>
      <c r="C245" s="49"/>
      <c r="D245" s="49"/>
      <c r="E245" s="49"/>
    </row>
    <row r="246" spans="1:5">
      <c r="A246" s="49"/>
      <c r="C246" s="49"/>
      <c r="D246" s="49"/>
      <c r="E246" s="49"/>
    </row>
    <row r="247" spans="1:5">
      <c r="A247" s="49"/>
      <c r="C247" s="49"/>
      <c r="D247" s="49"/>
      <c r="E247" s="49"/>
    </row>
    <row r="248" spans="1:5">
      <c r="A248" s="49"/>
      <c r="C248" s="49"/>
      <c r="D248" s="49"/>
      <c r="E248" s="49"/>
    </row>
    <row r="249" spans="1:5">
      <c r="A249" s="49"/>
      <c r="C249" s="49"/>
      <c r="D249" s="49"/>
      <c r="E249" s="49"/>
    </row>
    <row r="250" spans="1:5">
      <c r="A250" s="49"/>
      <c r="C250" s="49"/>
      <c r="D250" s="49"/>
      <c r="E250" s="49"/>
    </row>
    <row r="251" spans="1:5">
      <c r="A251" s="49"/>
      <c r="C251" s="49"/>
      <c r="D251" s="49"/>
      <c r="E251" s="49"/>
    </row>
    <row r="252" spans="1:5">
      <c r="A252" s="49"/>
      <c r="C252" s="49"/>
      <c r="D252" s="49"/>
      <c r="E252" s="49"/>
    </row>
    <row r="253" spans="1:5">
      <c r="A253" s="49"/>
      <c r="C253" s="49"/>
      <c r="D253" s="49"/>
      <c r="E253" s="49"/>
    </row>
    <row r="254" spans="1:5">
      <c r="A254" s="49"/>
      <c r="C254" s="49"/>
      <c r="D254" s="49"/>
      <c r="E254" s="49"/>
    </row>
    <row r="255" spans="1:5">
      <c r="A255" s="49"/>
      <c r="C255" s="49"/>
      <c r="D255" s="49"/>
      <c r="E255" s="49"/>
    </row>
    <row r="256" spans="1:5">
      <c r="A256" s="49"/>
      <c r="C256" s="49"/>
      <c r="D256" s="49"/>
      <c r="E256" s="49"/>
    </row>
    <row r="257" spans="1:5">
      <c r="A257" s="49"/>
      <c r="C257" s="49"/>
      <c r="D257" s="49"/>
      <c r="E257" s="49"/>
    </row>
    <row r="258" spans="1:5">
      <c r="A258" s="49"/>
      <c r="C258" s="49"/>
      <c r="D258" s="49"/>
      <c r="E258" s="49"/>
    </row>
    <row r="259" spans="1:5">
      <c r="A259" s="49"/>
      <c r="C259" s="49"/>
      <c r="D259" s="49"/>
      <c r="E259" s="49"/>
    </row>
    <row r="260" spans="1:5">
      <c r="A260" s="49"/>
      <c r="C260" s="49"/>
      <c r="D260" s="49"/>
      <c r="E260" s="49"/>
    </row>
    <row r="261" spans="1:5">
      <c r="A261" s="49"/>
      <c r="C261" s="49"/>
      <c r="D261" s="49"/>
      <c r="E261" s="49"/>
    </row>
    <row r="262" spans="1:5">
      <c r="A262" s="49"/>
      <c r="C262" s="49"/>
      <c r="D262" s="49"/>
      <c r="E262" s="49"/>
    </row>
    <row r="263" spans="1:5">
      <c r="A263" s="49"/>
      <c r="C263" s="49"/>
      <c r="D263" s="49"/>
      <c r="E263" s="49"/>
    </row>
    <row r="264" spans="1:5">
      <c r="A264" s="49"/>
      <c r="C264" s="49"/>
      <c r="D264" s="49"/>
      <c r="E264" s="49"/>
    </row>
    <row r="265" spans="1:5">
      <c r="A265" s="49"/>
      <c r="C265" s="49"/>
      <c r="D265" s="49"/>
      <c r="E265" s="49"/>
    </row>
    <row r="266" spans="1:5">
      <c r="A266" s="49"/>
      <c r="C266" s="49"/>
      <c r="D266" s="49"/>
      <c r="E266" s="49"/>
    </row>
    <row r="267" spans="1:5">
      <c r="A267" s="49"/>
      <c r="C267" s="49"/>
      <c r="D267" s="49"/>
      <c r="E267" s="49"/>
    </row>
    <row r="268" spans="1:5">
      <c r="A268" s="49"/>
      <c r="C268" s="49"/>
      <c r="D268" s="49"/>
      <c r="E268" s="49"/>
    </row>
    <row r="269" spans="1:5">
      <c r="A269" s="49"/>
      <c r="C269" s="49"/>
      <c r="D269" s="49"/>
      <c r="E269" s="49"/>
    </row>
    <row r="270" spans="1:5">
      <c r="A270" s="49"/>
      <c r="C270" s="49"/>
      <c r="D270" s="49"/>
      <c r="E270" s="49"/>
    </row>
    <row r="271" spans="1:5">
      <c r="A271" s="49"/>
      <c r="C271" s="49"/>
      <c r="D271" s="49"/>
      <c r="E271" s="49"/>
    </row>
    <row r="272" spans="1:5">
      <c r="A272" s="49"/>
      <c r="C272" s="49"/>
      <c r="D272" s="49"/>
      <c r="E272" s="49"/>
    </row>
    <row r="273" spans="1:5">
      <c r="A273" s="49"/>
      <c r="C273" s="49"/>
      <c r="D273" s="49"/>
      <c r="E273" s="49"/>
    </row>
    <row r="274" spans="1:5">
      <c r="A274" s="49"/>
      <c r="C274" s="49"/>
      <c r="D274" s="49"/>
      <c r="E274" s="49"/>
    </row>
    <row r="275" spans="1:5">
      <c r="A275" s="49"/>
      <c r="C275" s="49"/>
      <c r="D275" s="49"/>
      <c r="E275" s="49"/>
    </row>
    <row r="276" spans="1:5">
      <c r="A276" s="49"/>
      <c r="C276" s="49"/>
      <c r="D276" s="49"/>
      <c r="E276" s="49"/>
    </row>
    <row r="277" spans="1:5">
      <c r="A277" s="49"/>
      <c r="C277" s="49"/>
      <c r="D277" s="49"/>
      <c r="E277" s="49"/>
    </row>
    <row r="278" spans="1:5">
      <c r="A278" s="49"/>
      <c r="C278" s="49"/>
      <c r="D278" s="49"/>
      <c r="E278" s="49"/>
    </row>
    <row r="279" spans="1:5">
      <c r="A279" s="49"/>
      <c r="C279" s="49"/>
      <c r="D279" s="49"/>
      <c r="E279" s="49"/>
    </row>
    <row r="280" spans="1:5">
      <c r="A280" s="49"/>
      <c r="C280" s="49"/>
      <c r="D280" s="49"/>
      <c r="E280" s="49"/>
    </row>
    <row r="281" spans="1:5">
      <c r="A281" s="49"/>
      <c r="C281" s="49"/>
      <c r="D281" s="49"/>
      <c r="E281" s="49"/>
    </row>
    <row r="282" spans="1:5">
      <c r="A282" s="49"/>
      <c r="C282" s="49"/>
      <c r="D282" s="49"/>
      <c r="E282" s="49"/>
    </row>
    <row r="283" spans="1:5">
      <c r="A283" s="49"/>
      <c r="C283" s="49"/>
      <c r="D283" s="49"/>
      <c r="E283" s="49"/>
    </row>
    <row r="284" spans="1:5">
      <c r="A284" s="49"/>
      <c r="C284" s="49"/>
      <c r="D284" s="49"/>
      <c r="E284" s="49"/>
    </row>
    <row r="285" spans="1:5">
      <c r="A285" s="49"/>
      <c r="C285" s="49"/>
      <c r="D285" s="49"/>
      <c r="E285" s="49"/>
    </row>
    <row r="286" spans="1:5">
      <c r="A286" s="49"/>
      <c r="C286" s="49"/>
      <c r="D286" s="49"/>
      <c r="E286" s="49"/>
    </row>
    <row r="287" spans="1:5">
      <c r="A287" s="49"/>
      <c r="C287" s="49"/>
      <c r="D287" s="49"/>
      <c r="E287" s="49"/>
    </row>
    <row r="288" spans="1:5">
      <c r="A288" s="49"/>
      <c r="C288" s="49"/>
      <c r="D288" s="49"/>
      <c r="E288" s="49"/>
    </row>
    <row r="289" spans="1:5">
      <c r="A289" s="49"/>
      <c r="C289" s="49"/>
      <c r="D289" s="49"/>
      <c r="E289" s="49"/>
    </row>
    <row r="290" spans="1:5">
      <c r="A290" s="49"/>
      <c r="C290" s="49"/>
      <c r="D290" s="49"/>
      <c r="E290" s="49"/>
    </row>
    <row r="291" spans="1:5">
      <c r="A291" s="49"/>
      <c r="C291" s="49"/>
      <c r="D291" s="49"/>
      <c r="E291" s="49"/>
    </row>
    <row r="292" spans="1:5">
      <c r="A292" s="49"/>
      <c r="C292" s="49"/>
      <c r="D292" s="49"/>
      <c r="E292" s="49"/>
    </row>
    <row r="293" spans="1:5">
      <c r="A293" s="49"/>
      <c r="C293" s="49"/>
      <c r="D293" s="49"/>
      <c r="E293" s="49"/>
    </row>
    <row r="294" spans="1:5">
      <c r="A294" s="49"/>
      <c r="C294" s="49"/>
      <c r="D294" s="49"/>
      <c r="E294" s="49"/>
    </row>
    <row r="295" spans="1:5">
      <c r="A295" s="49"/>
      <c r="C295" s="49"/>
      <c r="D295" s="49"/>
      <c r="E295" s="49"/>
    </row>
    <row r="296" spans="1:5">
      <c r="A296" s="49"/>
      <c r="C296" s="49"/>
      <c r="D296" s="49"/>
      <c r="E296" s="49"/>
    </row>
    <row r="297" spans="1:5">
      <c r="A297" s="49"/>
      <c r="C297" s="49"/>
      <c r="D297" s="49"/>
      <c r="E297" s="49"/>
    </row>
    <row r="298" spans="1:5">
      <c r="A298" s="49"/>
      <c r="C298" s="49"/>
      <c r="D298" s="49"/>
      <c r="E298" s="49"/>
    </row>
    <row r="299" spans="1:5">
      <c r="A299" s="49"/>
      <c r="C299" s="49"/>
      <c r="D299" s="49"/>
      <c r="E299" s="49"/>
    </row>
    <row r="300" spans="1:5">
      <c r="A300" s="49"/>
      <c r="C300" s="49"/>
      <c r="D300" s="49"/>
      <c r="E300" s="49"/>
    </row>
    <row r="301" spans="1:5">
      <c r="A301" s="49"/>
      <c r="C301" s="49"/>
      <c r="D301" s="49"/>
      <c r="E301" s="49"/>
    </row>
    <row r="302" spans="1:5">
      <c r="A302" s="49"/>
      <c r="C302" s="49"/>
      <c r="D302" s="49"/>
      <c r="E302" s="49"/>
    </row>
    <row r="303" spans="1:5">
      <c r="A303" s="49"/>
      <c r="C303" s="49"/>
      <c r="D303" s="49"/>
      <c r="E303" s="49"/>
    </row>
    <row r="304" spans="1:5">
      <c r="A304" s="49"/>
      <c r="C304" s="49"/>
      <c r="D304" s="49"/>
      <c r="E304" s="49"/>
    </row>
    <row r="305" spans="1:5">
      <c r="A305" s="49"/>
      <c r="C305" s="49"/>
      <c r="D305" s="49"/>
      <c r="E305" s="49"/>
    </row>
    <row r="306" spans="1:5">
      <c r="A306" s="49"/>
      <c r="C306" s="49"/>
      <c r="D306" s="49"/>
      <c r="E306" s="49"/>
    </row>
    <row r="307" spans="1:5">
      <c r="A307" s="49"/>
      <c r="C307" s="49"/>
      <c r="D307" s="49"/>
      <c r="E307" s="49"/>
    </row>
    <row r="308" spans="1:5">
      <c r="A308" s="49"/>
      <c r="C308" s="49"/>
      <c r="D308" s="49"/>
      <c r="E308" s="49"/>
    </row>
    <row r="309" spans="1:5">
      <c r="A309" s="49"/>
      <c r="C309" s="49"/>
      <c r="D309" s="49"/>
      <c r="E309" s="49"/>
    </row>
    <row r="310" spans="1:5">
      <c r="A310" s="49"/>
      <c r="C310" s="49"/>
      <c r="D310" s="49"/>
      <c r="E310" s="49"/>
    </row>
    <row r="311" spans="1:5">
      <c r="A311" s="49"/>
      <c r="C311" s="49"/>
      <c r="D311" s="49"/>
      <c r="E311" s="49"/>
    </row>
    <row r="312" spans="1:5">
      <c r="A312" s="49"/>
      <c r="C312" s="49"/>
      <c r="D312" s="49"/>
      <c r="E312" s="49"/>
    </row>
    <row r="313" spans="1:5">
      <c r="A313" s="49"/>
      <c r="C313" s="49"/>
      <c r="D313" s="49"/>
      <c r="E313" s="49"/>
    </row>
    <row r="314" spans="1:5">
      <c r="A314" s="49"/>
      <c r="C314" s="49"/>
      <c r="D314" s="49"/>
      <c r="E314" s="49"/>
    </row>
    <row r="315" spans="1:5">
      <c r="A315" s="49"/>
      <c r="C315" s="49"/>
      <c r="D315" s="49"/>
      <c r="E315" s="49"/>
    </row>
    <row r="316" spans="1:5">
      <c r="A316" s="49"/>
      <c r="C316" s="49"/>
      <c r="D316" s="49"/>
      <c r="E316" s="49"/>
    </row>
    <row r="317" spans="1:5">
      <c r="A317" s="49"/>
      <c r="C317" s="49"/>
      <c r="D317" s="49"/>
      <c r="E317" s="49"/>
    </row>
    <row r="318" spans="1:5">
      <c r="A318" s="49"/>
      <c r="C318" s="49"/>
      <c r="D318" s="49"/>
      <c r="E318" s="49"/>
    </row>
    <row r="319" spans="1:5">
      <c r="A319" s="49"/>
      <c r="C319" s="49"/>
      <c r="D319" s="49"/>
      <c r="E319" s="49"/>
    </row>
    <row r="320" spans="1:5">
      <c r="A320" s="49"/>
      <c r="C320" s="49"/>
      <c r="D320" s="49"/>
      <c r="E320" s="49"/>
    </row>
    <row r="321" spans="1:5">
      <c r="A321" s="49"/>
      <c r="C321" s="49"/>
      <c r="D321" s="49"/>
      <c r="E321" s="49"/>
    </row>
    <row r="322" spans="1:5">
      <c r="A322" s="49"/>
      <c r="C322" s="49"/>
      <c r="D322" s="49"/>
      <c r="E322" s="49"/>
    </row>
    <row r="323" spans="1:5">
      <c r="A323" s="49"/>
      <c r="C323" s="49"/>
      <c r="D323" s="49"/>
      <c r="E323" s="49"/>
    </row>
    <row r="324" spans="1:5">
      <c r="A324" s="49"/>
      <c r="C324" s="49"/>
      <c r="D324" s="49"/>
      <c r="E324" s="49"/>
    </row>
    <row r="325" spans="1:5">
      <c r="A325" s="49"/>
      <c r="C325" s="49"/>
      <c r="D325" s="49"/>
      <c r="E325" s="49"/>
    </row>
    <row r="326" spans="1:5">
      <c r="A326" s="49"/>
      <c r="C326" s="49"/>
      <c r="D326" s="49"/>
      <c r="E326" s="49"/>
    </row>
    <row r="327" spans="1:5">
      <c r="A327" s="49"/>
      <c r="C327" s="49"/>
      <c r="D327" s="49"/>
      <c r="E327" s="49"/>
    </row>
    <row r="328" spans="1:5">
      <c r="A328" s="49"/>
      <c r="C328" s="49"/>
      <c r="D328" s="49"/>
      <c r="E328" s="49"/>
    </row>
    <row r="329" spans="1:5">
      <c r="A329" s="49"/>
      <c r="C329" s="49"/>
      <c r="D329" s="49"/>
      <c r="E329" s="49"/>
    </row>
    <row r="330" spans="1:5">
      <c r="A330" s="49"/>
      <c r="C330" s="49"/>
      <c r="D330" s="49"/>
      <c r="E330" s="49"/>
    </row>
    <row r="331" spans="1:5">
      <c r="A331" s="49"/>
      <c r="C331" s="49"/>
      <c r="D331" s="49"/>
      <c r="E331" s="49"/>
    </row>
    <row r="332" spans="1:5">
      <c r="A332" s="49"/>
      <c r="C332" s="49"/>
      <c r="D332" s="49"/>
      <c r="E332" s="49"/>
    </row>
    <row r="333" spans="1:5">
      <c r="A333" s="49"/>
      <c r="C333" s="49"/>
      <c r="D333" s="49"/>
      <c r="E333" s="49"/>
    </row>
    <row r="334" spans="1:5">
      <c r="A334" s="49"/>
      <c r="C334" s="49"/>
      <c r="D334" s="49"/>
      <c r="E334" s="49"/>
    </row>
    <row r="335" spans="1:5">
      <c r="A335" s="49"/>
      <c r="C335" s="49"/>
      <c r="D335" s="49"/>
      <c r="E335" s="49"/>
    </row>
    <row r="336" spans="1:5">
      <c r="A336" s="49"/>
      <c r="C336" s="49"/>
      <c r="D336" s="49"/>
      <c r="E336" s="49"/>
    </row>
    <row r="337" spans="1:5">
      <c r="A337" s="49"/>
      <c r="C337" s="49"/>
      <c r="D337" s="49"/>
      <c r="E337" s="49"/>
    </row>
    <row r="338" spans="1:5">
      <c r="A338" s="49"/>
      <c r="C338" s="49"/>
      <c r="D338" s="49"/>
      <c r="E338" s="49"/>
    </row>
    <row r="339" spans="1:5">
      <c r="A339" s="49"/>
      <c r="C339" s="49"/>
      <c r="D339" s="49"/>
      <c r="E339" s="49"/>
    </row>
    <row r="340" spans="1:5">
      <c r="A340" s="49"/>
      <c r="C340" s="49"/>
      <c r="D340" s="49"/>
      <c r="E340" s="49"/>
    </row>
    <row r="341" spans="1:5">
      <c r="A341" s="49"/>
      <c r="C341" s="49"/>
      <c r="D341" s="49"/>
      <c r="E341" s="49"/>
    </row>
    <row r="342" spans="1:5">
      <c r="A342" s="49"/>
      <c r="C342" s="49"/>
      <c r="D342" s="49"/>
      <c r="E342" s="49"/>
    </row>
    <row r="343" spans="1:5">
      <c r="A343" s="49"/>
      <c r="C343" s="49"/>
      <c r="D343" s="49"/>
      <c r="E343" s="49"/>
    </row>
    <row r="344" spans="1:5">
      <c r="A344" s="49"/>
      <c r="C344" s="49"/>
      <c r="D344" s="49"/>
      <c r="E344" s="49"/>
    </row>
    <row r="345" spans="1:5">
      <c r="A345" s="49"/>
      <c r="C345" s="49"/>
      <c r="D345" s="49"/>
      <c r="E345" s="49"/>
    </row>
    <row r="346" spans="1:5">
      <c r="A346" s="49"/>
      <c r="C346" s="49"/>
      <c r="D346" s="49"/>
      <c r="E346" s="49"/>
    </row>
    <row r="347" spans="1:5">
      <c r="A347" s="49"/>
      <c r="C347" s="49"/>
      <c r="D347" s="49"/>
      <c r="E347" s="49"/>
    </row>
    <row r="348" spans="1:5">
      <c r="A348" s="49"/>
      <c r="C348" s="49"/>
      <c r="D348" s="49"/>
      <c r="E348" s="49"/>
    </row>
    <row r="349" spans="1:5">
      <c r="A349" s="49"/>
      <c r="C349" s="49"/>
      <c r="D349" s="49"/>
      <c r="E349" s="49"/>
    </row>
    <row r="350" spans="1:5">
      <c r="A350" s="49"/>
      <c r="C350" s="49"/>
      <c r="D350" s="49"/>
      <c r="E350" s="49"/>
    </row>
    <row r="351" spans="1:5">
      <c r="A351" s="49"/>
      <c r="C351" s="49"/>
      <c r="D351" s="49"/>
      <c r="E351" s="49"/>
    </row>
    <row r="352" spans="1:5">
      <c r="A352" s="49"/>
      <c r="C352" s="49"/>
      <c r="D352" s="49"/>
      <c r="E352" s="49"/>
    </row>
    <row r="353" spans="1:5">
      <c r="A353" s="49"/>
      <c r="C353" s="49"/>
      <c r="D353" s="49"/>
      <c r="E353" s="49"/>
    </row>
    <row r="354" spans="1:5">
      <c r="A354" s="49"/>
      <c r="C354" s="49"/>
      <c r="D354" s="49"/>
      <c r="E354" s="49"/>
    </row>
    <row r="355" spans="1:5">
      <c r="A355" s="49"/>
      <c r="C355" s="49"/>
      <c r="D355" s="49"/>
      <c r="E355" s="49"/>
    </row>
    <row r="356" spans="1:5">
      <c r="A356" s="49"/>
      <c r="C356" s="49"/>
      <c r="D356" s="49"/>
      <c r="E356" s="49"/>
    </row>
    <row r="357" spans="1:5">
      <c r="A357" s="49"/>
      <c r="C357" s="49"/>
      <c r="D357" s="49"/>
      <c r="E357" s="49"/>
    </row>
    <row r="358" spans="1:5">
      <c r="A358" s="49"/>
      <c r="C358" s="49"/>
      <c r="D358" s="49"/>
      <c r="E358" s="49"/>
    </row>
    <row r="359" spans="1:5">
      <c r="A359" s="49"/>
      <c r="C359" s="49"/>
      <c r="D359" s="49"/>
      <c r="E359" s="49"/>
    </row>
    <row r="360" spans="1:5">
      <c r="A360" s="49"/>
      <c r="C360" s="49"/>
      <c r="D360" s="49"/>
      <c r="E360" s="49"/>
    </row>
    <row r="361" spans="1:5">
      <c r="A361" s="49"/>
      <c r="C361" s="49"/>
      <c r="D361" s="49"/>
      <c r="E361" s="49"/>
    </row>
    <row r="362" spans="1:5">
      <c r="A362" s="49"/>
      <c r="C362" s="49"/>
      <c r="D362" s="49"/>
      <c r="E362" s="49"/>
    </row>
    <row r="363" spans="1:5">
      <c r="A363" s="49"/>
      <c r="C363" s="49"/>
      <c r="D363" s="49"/>
      <c r="E363" s="49"/>
    </row>
    <row r="364" spans="1:5">
      <c r="A364" s="49"/>
      <c r="C364" s="49"/>
      <c r="D364" s="49"/>
      <c r="E364" s="49"/>
    </row>
    <row r="365" spans="1:5">
      <c r="A365" s="49"/>
      <c r="C365" s="49"/>
      <c r="D365" s="49"/>
      <c r="E365" s="49"/>
    </row>
    <row r="366" spans="1:5">
      <c r="A366" s="49"/>
      <c r="C366" s="49"/>
      <c r="D366" s="49"/>
      <c r="E366" s="49"/>
    </row>
    <row r="367" spans="1:5">
      <c r="A367" s="49"/>
      <c r="C367" s="49"/>
      <c r="D367" s="49"/>
      <c r="E367" s="49"/>
    </row>
    <row r="368" spans="1:5">
      <c r="A368" s="49"/>
      <c r="C368" s="49"/>
      <c r="D368" s="49"/>
      <c r="E368" s="49"/>
    </row>
    <row r="369" spans="1:5">
      <c r="A369" s="49"/>
      <c r="C369" s="49"/>
      <c r="D369" s="49"/>
      <c r="E369" s="49"/>
    </row>
    <row r="370" spans="1:5">
      <c r="A370" s="49"/>
      <c r="C370" s="49"/>
      <c r="D370" s="49"/>
      <c r="E370" s="49"/>
    </row>
    <row r="371" spans="1:5">
      <c r="A371" s="49"/>
      <c r="C371" s="49"/>
      <c r="D371" s="49"/>
      <c r="E371" s="49"/>
    </row>
    <row r="372" spans="1:5">
      <c r="A372" s="49"/>
      <c r="C372" s="49"/>
      <c r="D372" s="49"/>
      <c r="E372" s="49"/>
    </row>
    <row r="373" spans="1:5">
      <c r="A373" s="49"/>
      <c r="C373" s="49"/>
      <c r="D373" s="49"/>
      <c r="E373" s="49"/>
    </row>
    <row r="374" spans="1:5">
      <c r="A374" s="49"/>
      <c r="C374" s="49"/>
      <c r="D374" s="49"/>
      <c r="E374" s="49"/>
    </row>
    <row r="375" spans="1:5">
      <c r="A375" s="49"/>
      <c r="C375" s="49"/>
      <c r="D375" s="49"/>
      <c r="E375" s="49"/>
    </row>
    <row r="376" spans="1:5">
      <c r="A376" s="49"/>
      <c r="C376" s="49"/>
      <c r="D376" s="49"/>
      <c r="E376" s="49"/>
    </row>
    <row r="377" spans="1:5">
      <c r="A377" s="49"/>
      <c r="C377" s="49"/>
      <c r="D377" s="49"/>
      <c r="E377" s="49"/>
    </row>
    <row r="378" spans="1:5">
      <c r="A378" s="49"/>
      <c r="C378" s="49"/>
      <c r="D378" s="49"/>
      <c r="E378" s="49"/>
    </row>
    <row r="379" spans="1:5">
      <c r="A379" s="49"/>
      <c r="C379" s="49"/>
      <c r="D379" s="49"/>
      <c r="E379" s="49"/>
    </row>
    <row r="380" spans="1:5">
      <c r="A380" s="49"/>
      <c r="C380" s="49"/>
      <c r="D380" s="49"/>
      <c r="E380" s="49"/>
    </row>
    <row r="381" spans="1:5">
      <c r="A381" s="49"/>
      <c r="C381" s="49"/>
      <c r="D381" s="49"/>
      <c r="E381" s="49"/>
    </row>
    <row r="382" spans="1:5">
      <c r="A382" s="49"/>
      <c r="C382" s="49"/>
      <c r="D382" s="49"/>
      <c r="E382" s="49"/>
    </row>
    <row r="383" spans="1:5">
      <c r="A383" s="49"/>
      <c r="C383" s="49"/>
      <c r="D383" s="49"/>
      <c r="E383" s="49"/>
    </row>
    <row r="384" spans="1:5">
      <c r="A384" s="49"/>
      <c r="C384" s="49"/>
      <c r="D384" s="49"/>
      <c r="E384" s="49"/>
    </row>
    <row r="385" spans="1:5">
      <c r="A385" s="49"/>
      <c r="C385" s="49"/>
      <c r="D385" s="49"/>
      <c r="E385" s="49"/>
    </row>
    <row r="386" spans="1:5">
      <c r="A386" s="49"/>
      <c r="C386" s="49"/>
      <c r="D386" s="49"/>
      <c r="E386" s="49"/>
    </row>
    <row r="387" spans="1:5">
      <c r="A387" s="49"/>
      <c r="C387" s="49"/>
      <c r="D387" s="49"/>
      <c r="E387" s="49"/>
    </row>
    <row r="388" spans="1:5">
      <c r="A388" s="49"/>
      <c r="C388" s="49"/>
      <c r="D388" s="49"/>
      <c r="E388" s="49"/>
    </row>
    <row r="389" spans="1:5">
      <c r="A389" s="49"/>
      <c r="C389" s="49"/>
      <c r="D389" s="49"/>
      <c r="E389" s="49"/>
    </row>
    <row r="390" spans="1:5">
      <c r="A390" s="49"/>
      <c r="C390" s="49"/>
      <c r="D390" s="49"/>
      <c r="E390" s="49"/>
    </row>
    <row r="391" spans="1:5">
      <c r="A391" s="49"/>
      <c r="C391" s="49"/>
      <c r="D391" s="49"/>
      <c r="E391" s="49"/>
    </row>
    <row r="392" spans="1:5">
      <c r="A392" s="49"/>
      <c r="C392" s="49"/>
      <c r="D392" s="49"/>
      <c r="E392" s="49"/>
    </row>
    <row r="393" spans="1:5">
      <c r="A393" s="49"/>
      <c r="C393" s="49"/>
      <c r="D393" s="49"/>
      <c r="E393" s="49"/>
    </row>
    <row r="394" spans="1:5">
      <c r="A394" s="49"/>
      <c r="C394" s="49"/>
      <c r="D394" s="49"/>
      <c r="E394" s="49"/>
    </row>
    <row r="395" spans="1:5">
      <c r="A395" s="49"/>
      <c r="C395" s="49"/>
      <c r="D395" s="49"/>
      <c r="E395" s="49"/>
    </row>
    <row r="396" spans="1:5">
      <c r="A396" s="49"/>
      <c r="C396" s="49"/>
      <c r="D396" s="49"/>
      <c r="E396" s="49"/>
    </row>
    <row r="397" spans="1:5">
      <c r="A397" s="49"/>
      <c r="C397" s="49"/>
      <c r="D397" s="49"/>
      <c r="E397" s="49"/>
    </row>
    <row r="398" spans="1:5">
      <c r="A398" s="49"/>
      <c r="C398" s="49"/>
      <c r="D398" s="49"/>
      <c r="E398" s="49"/>
    </row>
    <row r="399" spans="1:5">
      <c r="A399" s="49"/>
      <c r="C399" s="49"/>
      <c r="D399" s="49"/>
      <c r="E399" s="49"/>
    </row>
    <row r="400" spans="1:5">
      <c r="A400" s="49"/>
      <c r="C400" s="49"/>
      <c r="D400" s="49"/>
      <c r="E400" s="49"/>
    </row>
    <row r="401" spans="1:5">
      <c r="A401" s="49"/>
      <c r="C401" s="49"/>
      <c r="D401" s="49"/>
      <c r="E401" s="49"/>
    </row>
    <row r="402" spans="1:5">
      <c r="A402" s="49"/>
      <c r="C402" s="49"/>
      <c r="D402" s="49"/>
      <c r="E402" s="49"/>
    </row>
    <row r="403" spans="1:5">
      <c r="A403" s="49"/>
      <c r="C403" s="49"/>
      <c r="D403" s="49"/>
      <c r="E403" s="49"/>
    </row>
    <row r="404" spans="1:5">
      <c r="A404" s="49"/>
      <c r="C404" s="49"/>
      <c r="D404" s="49"/>
      <c r="E404" s="49"/>
    </row>
    <row r="405" spans="1:5">
      <c r="A405" s="49"/>
      <c r="C405" s="49"/>
      <c r="D405" s="49"/>
      <c r="E405" s="49"/>
    </row>
    <row r="406" spans="1:5">
      <c r="A406" s="49"/>
      <c r="C406" s="49"/>
      <c r="D406" s="49"/>
      <c r="E406" s="49"/>
    </row>
    <row r="407" spans="1:5">
      <c r="A407" s="49"/>
      <c r="C407" s="49"/>
      <c r="D407" s="49"/>
      <c r="E407" s="49"/>
    </row>
    <row r="408" spans="1:5">
      <c r="A408" s="49"/>
      <c r="C408" s="49"/>
      <c r="D408" s="49"/>
      <c r="E408" s="49"/>
    </row>
    <row r="409" spans="1:5">
      <c r="A409" s="49"/>
      <c r="C409" s="49"/>
      <c r="D409" s="49"/>
      <c r="E409" s="49"/>
    </row>
    <row r="410" spans="1:5">
      <c r="A410" s="49"/>
      <c r="C410" s="49"/>
      <c r="D410" s="49"/>
      <c r="E410" s="49"/>
    </row>
    <row r="411" spans="1:5">
      <c r="A411" s="49"/>
      <c r="C411" s="49"/>
      <c r="D411" s="49"/>
      <c r="E411" s="49"/>
    </row>
    <row r="412" spans="1:5">
      <c r="A412" s="49"/>
      <c r="C412" s="49"/>
      <c r="D412" s="49"/>
      <c r="E412" s="49"/>
    </row>
    <row r="413" spans="1:5">
      <c r="A413" s="49"/>
      <c r="C413" s="49"/>
      <c r="D413" s="49"/>
      <c r="E413" s="49"/>
    </row>
    <row r="414" spans="1:5">
      <c r="A414" s="49"/>
      <c r="C414" s="49"/>
      <c r="D414" s="49"/>
      <c r="E414" s="49"/>
    </row>
    <row r="415" spans="1:5">
      <c r="A415" s="49"/>
      <c r="C415" s="49"/>
      <c r="D415" s="49"/>
      <c r="E415" s="49"/>
    </row>
    <row r="416" spans="1:5">
      <c r="A416" s="49"/>
      <c r="C416" s="49"/>
      <c r="D416" s="49"/>
      <c r="E416" s="49"/>
    </row>
    <row r="417" spans="1:5">
      <c r="A417" s="49"/>
      <c r="C417" s="49"/>
      <c r="D417" s="49"/>
      <c r="E417" s="49"/>
    </row>
    <row r="418" spans="1:5">
      <c r="A418" s="49"/>
      <c r="C418" s="49"/>
      <c r="D418" s="49"/>
      <c r="E418" s="49"/>
    </row>
    <row r="419" spans="1:5">
      <c r="A419" s="49"/>
      <c r="C419" s="49"/>
      <c r="D419" s="49"/>
      <c r="E419" s="49"/>
    </row>
    <row r="420" spans="1:5">
      <c r="A420" s="49"/>
      <c r="C420" s="49"/>
      <c r="D420" s="49"/>
      <c r="E420" s="49"/>
    </row>
    <row r="421" spans="1:5">
      <c r="A421" s="49"/>
      <c r="C421" s="49"/>
      <c r="D421" s="49"/>
      <c r="E421" s="49"/>
    </row>
    <row r="422" spans="1:5">
      <c r="A422" s="49"/>
      <c r="C422" s="49"/>
      <c r="D422" s="49"/>
      <c r="E422" s="49"/>
    </row>
    <row r="423" spans="1:5">
      <c r="A423" s="49"/>
      <c r="C423" s="49"/>
      <c r="D423" s="49"/>
      <c r="E423" s="49"/>
    </row>
    <row r="424" spans="1:5">
      <c r="A424" s="49"/>
      <c r="C424" s="49"/>
      <c r="D424" s="49"/>
      <c r="E424" s="49"/>
    </row>
    <row r="425" spans="1:5">
      <c r="A425" s="49"/>
      <c r="C425" s="49"/>
      <c r="D425" s="49"/>
      <c r="E425" s="49"/>
    </row>
    <row r="426" spans="1:5">
      <c r="A426" s="49"/>
      <c r="C426" s="49"/>
      <c r="D426" s="49"/>
      <c r="E426" s="49"/>
    </row>
    <row r="427" spans="1:5">
      <c r="A427" s="49"/>
      <c r="C427" s="49"/>
      <c r="D427" s="49"/>
      <c r="E427" s="49"/>
    </row>
    <row r="428" spans="1:5">
      <c r="A428" s="49"/>
      <c r="C428" s="49"/>
      <c r="D428" s="49"/>
      <c r="E428" s="49"/>
    </row>
    <row r="429" spans="1:5">
      <c r="A429" s="49"/>
      <c r="C429" s="49"/>
      <c r="D429" s="49"/>
      <c r="E429" s="49"/>
    </row>
    <row r="430" spans="1:5">
      <c r="A430" s="49"/>
      <c r="C430" s="49"/>
      <c r="D430" s="49"/>
      <c r="E430" s="49"/>
    </row>
    <row r="431" spans="1:5">
      <c r="A431" s="49"/>
      <c r="C431" s="49"/>
      <c r="D431" s="49"/>
      <c r="E431" s="49"/>
    </row>
    <row r="432" spans="1:5">
      <c r="A432" s="49"/>
      <c r="C432" s="49"/>
      <c r="D432" s="49"/>
      <c r="E432" s="49"/>
    </row>
    <row r="433" spans="1:5">
      <c r="A433" s="49"/>
      <c r="C433" s="49"/>
      <c r="D433" s="49"/>
      <c r="E433" s="49"/>
    </row>
    <row r="434" spans="1:5">
      <c r="A434" s="49"/>
      <c r="C434" s="49"/>
      <c r="D434" s="49"/>
      <c r="E434" s="49"/>
    </row>
    <row r="435" spans="1:5">
      <c r="A435" s="49"/>
      <c r="C435" s="49"/>
      <c r="D435" s="49"/>
      <c r="E435" s="49"/>
    </row>
    <row r="436" spans="1:5">
      <c r="A436" s="49"/>
      <c r="C436" s="49"/>
      <c r="D436" s="49"/>
      <c r="E436" s="49"/>
    </row>
    <row r="437" spans="1:5">
      <c r="A437" s="49"/>
      <c r="C437" s="49"/>
      <c r="D437" s="49"/>
      <c r="E437" s="49"/>
    </row>
    <row r="438" spans="1:5">
      <c r="A438" s="49"/>
      <c r="C438" s="49"/>
      <c r="D438" s="49"/>
      <c r="E438" s="49"/>
    </row>
    <row r="439" spans="1:5">
      <c r="A439" s="49"/>
      <c r="C439" s="49"/>
      <c r="D439" s="49"/>
      <c r="E439" s="49"/>
    </row>
    <row r="440" spans="1:5">
      <c r="A440" s="49"/>
      <c r="C440" s="49"/>
      <c r="D440" s="49"/>
      <c r="E440" s="49"/>
    </row>
    <row r="441" spans="1:5">
      <c r="A441" s="49"/>
      <c r="C441" s="49"/>
      <c r="D441" s="49"/>
      <c r="E441" s="49"/>
    </row>
    <row r="442" spans="1:5">
      <c r="A442" s="49"/>
      <c r="C442" s="49"/>
      <c r="D442" s="49"/>
      <c r="E442" s="49"/>
    </row>
    <row r="443" spans="1:5">
      <c r="A443" s="49"/>
      <c r="C443" s="49"/>
      <c r="D443" s="49"/>
      <c r="E443" s="49"/>
    </row>
    <row r="444" spans="1:5">
      <c r="A444" s="49"/>
      <c r="C444" s="49"/>
      <c r="D444" s="49"/>
      <c r="E444" s="49"/>
    </row>
    <row r="445" spans="1:5">
      <c r="A445" s="49"/>
      <c r="C445" s="49"/>
      <c r="D445" s="49"/>
      <c r="E445" s="49"/>
    </row>
    <row r="446" spans="1:5">
      <c r="A446" s="49"/>
      <c r="C446" s="49"/>
      <c r="D446" s="49"/>
      <c r="E446" s="49"/>
    </row>
    <row r="447" spans="1:5">
      <c r="A447" s="49"/>
      <c r="C447" s="49"/>
      <c r="D447" s="49"/>
      <c r="E447" s="49"/>
    </row>
    <row r="448" spans="1:5">
      <c r="A448" s="49"/>
      <c r="C448" s="49"/>
      <c r="D448" s="49"/>
      <c r="E448" s="49"/>
    </row>
    <row r="449" spans="1:5">
      <c r="A449" s="49"/>
      <c r="C449" s="49"/>
      <c r="D449" s="49"/>
      <c r="E449" s="49"/>
    </row>
    <row r="450" spans="1:5">
      <c r="A450" s="49"/>
      <c r="C450" s="49"/>
      <c r="D450" s="49"/>
      <c r="E450" s="49"/>
    </row>
    <row r="451" spans="1:5">
      <c r="A451" s="49"/>
      <c r="C451" s="49"/>
      <c r="D451" s="49"/>
      <c r="E451" s="49"/>
    </row>
    <row r="452" spans="1:5">
      <c r="A452" s="49"/>
      <c r="C452" s="49"/>
      <c r="D452" s="49"/>
      <c r="E452" s="49"/>
    </row>
    <row r="453" spans="1:5">
      <c r="A453" s="49"/>
      <c r="C453" s="49"/>
      <c r="D453" s="49"/>
      <c r="E453" s="49"/>
    </row>
    <row r="454" spans="1:5">
      <c r="A454" s="49"/>
      <c r="C454" s="49"/>
      <c r="D454" s="49"/>
      <c r="E454" s="49"/>
    </row>
    <row r="455" spans="1:5">
      <c r="A455" s="49"/>
      <c r="C455" s="49"/>
      <c r="D455" s="49"/>
      <c r="E455" s="49"/>
    </row>
    <row r="456" spans="1:5">
      <c r="A456" s="49"/>
      <c r="C456" s="49"/>
      <c r="D456" s="49"/>
      <c r="E456" s="49"/>
    </row>
    <row r="457" spans="1:5">
      <c r="A457" s="49"/>
      <c r="C457" s="49"/>
      <c r="D457" s="49"/>
      <c r="E457" s="49"/>
    </row>
    <row r="458" spans="1:5">
      <c r="A458" s="49"/>
      <c r="C458" s="49"/>
      <c r="D458" s="49"/>
      <c r="E458" s="49"/>
    </row>
    <row r="459" spans="1:5">
      <c r="A459" s="49"/>
      <c r="C459" s="49"/>
      <c r="D459" s="49"/>
      <c r="E459" s="49"/>
    </row>
    <row r="460" spans="1:5">
      <c r="A460" s="49"/>
      <c r="C460" s="49"/>
      <c r="D460" s="49"/>
      <c r="E460" s="49"/>
    </row>
    <row r="461" spans="1:5">
      <c r="A461" s="49"/>
      <c r="C461" s="49"/>
      <c r="D461" s="49"/>
      <c r="E461" s="49"/>
    </row>
    <row r="462" spans="1:5">
      <c r="A462" s="49"/>
      <c r="C462" s="49"/>
      <c r="D462" s="49"/>
      <c r="E462" s="49"/>
    </row>
    <row r="463" spans="1:5">
      <c r="A463" s="49"/>
      <c r="C463" s="49"/>
      <c r="D463" s="49"/>
      <c r="E463" s="49"/>
    </row>
    <row r="464" spans="1:5">
      <c r="A464" s="49"/>
      <c r="C464" s="49"/>
      <c r="D464" s="49"/>
      <c r="E464" s="49"/>
    </row>
    <row r="465" spans="1:5">
      <c r="A465" s="49"/>
      <c r="C465" s="49"/>
      <c r="D465" s="49"/>
      <c r="E465" s="49"/>
    </row>
    <row r="466" spans="1:5">
      <c r="A466" s="49"/>
      <c r="C466" s="49"/>
      <c r="D466" s="49"/>
      <c r="E466" s="49"/>
    </row>
    <row r="467" spans="1:5">
      <c r="A467" s="49"/>
      <c r="C467" s="49"/>
      <c r="D467" s="49"/>
      <c r="E467" s="49"/>
    </row>
    <row r="468" spans="1:5">
      <c r="A468" s="49"/>
      <c r="C468" s="49"/>
      <c r="D468" s="49"/>
      <c r="E468" s="49"/>
    </row>
    <row r="469" spans="1:5">
      <c r="A469" s="49"/>
      <c r="C469" s="49"/>
      <c r="D469" s="49"/>
      <c r="E469" s="49"/>
    </row>
    <row r="470" spans="1:5">
      <c r="A470" s="49"/>
      <c r="C470" s="49"/>
      <c r="D470" s="49"/>
      <c r="E470" s="49"/>
    </row>
    <row r="471" spans="1:5">
      <c r="A471" s="49"/>
      <c r="C471" s="49"/>
      <c r="D471" s="49"/>
      <c r="E471" s="49"/>
    </row>
    <row r="472" spans="1:5">
      <c r="A472" s="49"/>
      <c r="C472" s="49"/>
      <c r="D472" s="49"/>
      <c r="E472" s="49"/>
    </row>
    <row r="473" spans="1:5">
      <c r="A473" s="49"/>
      <c r="C473" s="49"/>
      <c r="D473" s="49"/>
      <c r="E473" s="49"/>
    </row>
    <row r="474" spans="1:5">
      <c r="A474" s="49"/>
      <c r="C474" s="49"/>
      <c r="D474" s="49"/>
      <c r="E474" s="49"/>
    </row>
    <row r="475" spans="1:5">
      <c r="A475" s="49"/>
      <c r="C475" s="49"/>
      <c r="D475" s="49"/>
      <c r="E475" s="49"/>
    </row>
    <row r="476" spans="1:5">
      <c r="A476" s="49"/>
      <c r="C476" s="49"/>
      <c r="D476" s="49"/>
      <c r="E476" s="49"/>
    </row>
    <row r="477" spans="1:5">
      <c r="A477" s="49"/>
      <c r="C477" s="49"/>
      <c r="D477" s="49"/>
      <c r="E477" s="49"/>
    </row>
    <row r="478" spans="1:5">
      <c r="A478" s="49"/>
      <c r="C478" s="49"/>
      <c r="D478" s="49"/>
      <c r="E478" s="49"/>
    </row>
    <row r="479" spans="1:5">
      <c r="A479" s="49"/>
      <c r="C479" s="49"/>
      <c r="D479" s="49"/>
      <c r="E479" s="49"/>
    </row>
    <row r="480" spans="1:5">
      <c r="A480" s="49"/>
      <c r="C480" s="49"/>
      <c r="D480" s="49"/>
      <c r="E480" s="49"/>
    </row>
    <row r="481" spans="1:5">
      <c r="A481" s="49"/>
      <c r="C481" s="49"/>
      <c r="D481" s="49"/>
      <c r="E481" s="49"/>
    </row>
    <row r="482" spans="1:5">
      <c r="A482" s="49"/>
      <c r="C482" s="49"/>
      <c r="D482" s="49"/>
      <c r="E482" s="49"/>
    </row>
    <row r="483" spans="1:5">
      <c r="A483" s="49"/>
      <c r="C483" s="49"/>
      <c r="D483" s="49"/>
      <c r="E483" s="49"/>
    </row>
    <row r="484" spans="1:5">
      <c r="A484" s="49"/>
      <c r="C484" s="49"/>
      <c r="D484" s="49"/>
      <c r="E484" s="49"/>
    </row>
    <row r="485" spans="1:5">
      <c r="A485" s="49"/>
      <c r="C485" s="49"/>
      <c r="D485" s="49"/>
      <c r="E485" s="49"/>
    </row>
    <row r="486" spans="1:5">
      <c r="A486" s="49"/>
      <c r="C486" s="49"/>
      <c r="D486" s="49"/>
      <c r="E486" s="49"/>
    </row>
    <row r="487" spans="1:5">
      <c r="A487" s="49"/>
      <c r="C487" s="49"/>
      <c r="D487" s="49"/>
      <c r="E487" s="49"/>
    </row>
    <row r="488" spans="1:5">
      <c r="A488" s="49"/>
      <c r="C488" s="49"/>
      <c r="D488" s="49"/>
      <c r="E488" s="49"/>
    </row>
    <row r="489" spans="1:5">
      <c r="A489" s="49"/>
      <c r="C489" s="49"/>
      <c r="D489" s="49"/>
      <c r="E489" s="49"/>
    </row>
    <row r="490" spans="1:5">
      <c r="A490" s="49"/>
      <c r="C490" s="49"/>
      <c r="D490" s="49"/>
      <c r="E490" s="49"/>
    </row>
    <row r="491" spans="1:5">
      <c r="A491" s="49"/>
      <c r="C491" s="49"/>
      <c r="D491" s="49"/>
      <c r="E491" s="49"/>
    </row>
    <row r="492" spans="1:5">
      <c r="A492" s="49"/>
      <c r="C492" s="49"/>
      <c r="D492" s="49"/>
      <c r="E492" s="49"/>
    </row>
    <row r="493" spans="1:5">
      <c r="A493" s="49"/>
      <c r="C493" s="49"/>
      <c r="D493" s="49"/>
      <c r="E493" s="49"/>
    </row>
    <row r="494" spans="1:5">
      <c r="A494" s="49"/>
      <c r="C494" s="49"/>
      <c r="D494" s="49"/>
      <c r="E494" s="49"/>
    </row>
    <row r="495" spans="1:5">
      <c r="A495" s="49"/>
      <c r="C495" s="49"/>
      <c r="D495" s="49"/>
      <c r="E495" s="49"/>
    </row>
    <row r="496" spans="1:5">
      <c r="A496" s="49"/>
      <c r="C496" s="49"/>
      <c r="D496" s="49"/>
      <c r="E496" s="49"/>
    </row>
    <row r="497" spans="1:5">
      <c r="A497" s="49"/>
      <c r="C497" s="49"/>
      <c r="D497" s="49"/>
      <c r="E497" s="49"/>
    </row>
    <row r="498" spans="1:5">
      <c r="A498" s="49"/>
      <c r="C498" s="49"/>
      <c r="D498" s="49"/>
      <c r="E498" s="49"/>
    </row>
    <row r="499" spans="1:5">
      <c r="A499" s="49"/>
      <c r="C499" s="49"/>
      <c r="D499" s="49"/>
      <c r="E499" s="49"/>
    </row>
    <row r="500" spans="1:5">
      <c r="A500" s="49"/>
      <c r="C500" s="49"/>
      <c r="D500" s="49"/>
      <c r="E500" s="49"/>
    </row>
    <row r="501" spans="1:5">
      <c r="A501" s="49"/>
      <c r="C501" s="49"/>
      <c r="D501" s="49"/>
      <c r="E501" s="49"/>
    </row>
    <row r="502" spans="1:5">
      <c r="A502" s="49"/>
      <c r="C502" s="49"/>
      <c r="D502" s="49"/>
      <c r="E502" s="49"/>
    </row>
    <row r="503" spans="1:5">
      <c r="A503" s="49"/>
      <c r="C503" s="49"/>
      <c r="D503" s="49"/>
      <c r="E503" s="49"/>
    </row>
    <row r="504" spans="1:5">
      <c r="A504" s="49"/>
      <c r="C504" s="49"/>
      <c r="D504" s="49"/>
      <c r="E504" s="49"/>
    </row>
    <row r="505" spans="1:5">
      <c r="A505" s="49"/>
      <c r="C505" s="49"/>
      <c r="D505" s="49"/>
      <c r="E505" s="49"/>
    </row>
    <row r="506" spans="1:5">
      <c r="A506" s="49"/>
      <c r="C506" s="49"/>
      <c r="D506" s="49"/>
      <c r="E506" s="49"/>
    </row>
    <row r="507" spans="1:5">
      <c r="A507" s="49"/>
      <c r="C507" s="49"/>
      <c r="D507" s="49"/>
      <c r="E507" s="49"/>
    </row>
    <row r="508" spans="1:5">
      <c r="A508" s="49"/>
      <c r="C508" s="49"/>
      <c r="D508" s="49"/>
      <c r="E508" s="49"/>
    </row>
    <row r="509" spans="1:5">
      <c r="A509" s="49"/>
      <c r="C509" s="49"/>
      <c r="D509" s="49"/>
      <c r="E509" s="49"/>
    </row>
    <row r="510" spans="1:5">
      <c r="A510" s="49"/>
      <c r="C510" s="49"/>
      <c r="D510" s="49"/>
      <c r="E510" s="49"/>
    </row>
    <row r="511" spans="1:5">
      <c r="A511" s="49"/>
      <c r="C511" s="49"/>
      <c r="D511" s="49"/>
      <c r="E511" s="49"/>
    </row>
    <row r="512" spans="1:5">
      <c r="A512" s="49"/>
      <c r="C512" s="49"/>
      <c r="D512" s="49"/>
      <c r="E512" s="49"/>
    </row>
    <row r="513" spans="1:5">
      <c r="A513" s="49"/>
      <c r="C513" s="49"/>
      <c r="D513" s="49"/>
      <c r="E513" s="49"/>
    </row>
    <row r="514" spans="1:5">
      <c r="A514" s="49"/>
      <c r="C514" s="49"/>
      <c r="D514" s="49"/>
      <c r="E514" s="49"/>
    </row>
    <row r="515" spans="1:5">
      <c r="A515" s="49"/>
      <c r="C515" s="49"/>
      <c r="D515" s="49"/>
      <c r="E515" s="49"/>
    </row>
    <row r="516" spans="1:5">
      <c r="A516" s="49"/>
      <c r="C516" s="49"/>
      <c r="D516" s="49"/>
      <c r="E516" s="49"/>
    </row>
    <row r="517" spans="1:5">
      <c r="A517" s="49"/>
      <c r="C517" s="49"/>
      <c r="D517" s="49"/>
      <c r="E517" s="49"/>
    </row>
    <row r="518" spans="1:5">
      <c r="A518" s="49"/>
      <c r="C518" s="49"/>
      <c r="D518" s="49"/>
      <c r="E518" s="49"/>
    </row>
    <row r="519" spans="1:5">
      <c r="A519" s="49"/>
      <c r="C519" s="49"/>
      <c r="D519" s="49"/>
      <c r="E519" s="49"/>
    </row>
    <row r="520" spans="1:5">
      <c r="A520" s="49"/>
      <c r="C520" s="49"/>
      <c r="D520" s="49"/>
      <c r="E520" s="49"/>
    </row>
    <row r="521" spans="1:5">
      <c r="A521" s="49"/>
      <c r="C521" s="49"/>
      <c r="D521" s="49"/>
      <c r="E521" s="49"/>
    </row>
    <row r="522" spans="1:5">
      <c r="A522" s="49"/>
      <c r="C522" s="49"/>
      <c r="D522" s="49"/>
      <c r="E522" s="49"/>
    </row>
    <row r="523" spans="1:5">
      <c r="A523" s="49"/>
      <c r="C523" s="49"/>
      <c r="D523" s="49"/>
      <c r="E523" s="49"/>
    </row>
    <row r="524" spans="1:5">
      <c r="A524" s="49"/>
      <c r="C524" s="49"/>
      <c r="D524" s="49"/>
      <c r="E524" s="49"/>
    </row>
    <row r="525" spans="1:5">
      <c r="A525" s="49"/>
      <c r="C525" s="49"/>
      <c r="D525" s="49"/>
      <c r="E525" s="49"/>
    </row>
    <row r="526" spans="1:5">
      <c r="A526" s="49"/>
      <c r="C526" s="49"/>
      <c r="D526" s="49"/>
      <c r="E526" s="49"/>
    </row>
    <row r="527" spans="1:5">
      <c r="A527" s="49"/>
      <c r="C527" s="49"/>
      <c r="D527" s="49"/>
      <c r="E527" s="49"/>
    </row>
    <row r="528" spans="1:5">
      <c r="A528" s="49"/>
      <c r="C528" s="49"/>
      <c r="D528" s="49"/>
      <c r="E528" s="49"/>
    </row>
    <row r="529" spans="1:5">
      <c r="A529" s="49"/>
      <c r="C529" s="49"/>
      <c r="D529" s="49"/>
      <c r="E529" s="49"/>
    </row>
    <row r="530" spans="1:5">
      <c r="A530" s="49"/>
      <c r="C530" s="49"/>
      <c r="D530" s="49"/>
      <c r="E530" s="49"/>
    </row>
    <row r="531" spans="1:5">
      <c r="A531" s="49"/>
      <c r="C531" s="49"/>
      <c r="D531" s="49"/>
      <c r="E531" s="49"/>
    </row>
    <row r="532" spans="1:5">
      <c r="A532" s="49"/>
      <c r="C532" s="49"/>
      <c r="D532" s="49"/>
      <c r="E532" s="49"/>
    </row>
    <row r="533" spans="1:5">
      <c r="A533" s="49"/>
      <c r="C533" s="49"/>
      <c r="D533" s="49"/>
      <c r="E533" s="49"/>
    </row>
    <row r="534" spans="1:5">
      <c r="A534" s="49"/>
      <c r="C534" s="49"/>
      <c r="D534" s="49"/>
      <c r="E534" s="49"/>
    </row>
    <row r="535" spans="1:5">
      <c r="A535" s="49"/>
      <c r="C535" s="49"/>
      <c r="D535" s="49"/>
      <c r="E535" s="49"/>
    </row>
    <row r="536" spans="1:5">
      <c r="A536" s="49"/>
      <c r="C536" s="49"/>
      <c r="D536" s="49"/>
      <c r="E536" s="49"/>
    </row>
    <row r="537" spans="1:5">
      <c r="A537" s="49"/>
      <c r="C537" s="49"/>
      <c r="D537" s="49"/>
      <c r="E537" s="49"/>
    </row>
    <row r="538" spans="1:5">
      <c r="A538" s="49"/>
      <c r="C538" s="49"/>
      <c r="D538" s="49"/>
      <c r="E538" s="49"/>
    </row>
    <row r="539" spans="1:5">
      <c r="A539" s="49"/>
      <c r="C539" s="49"/>
      <c r="D539" s="49"/>
      <c r="E539" s="49"/>
    </row>
    <row r="540" spans="1:5">
      <c r="A540" s="49"/>
      <c r="C540" s="49"/>
      <c r="D540" s="49"/>
      <c r="E540" s="49"/>
    </row>
    <row r="541" spans="1:5">
      <c r="A541" s="49"/>
      <c r="C541" s="49"/>
      <c r="D541" s="49"/>
      <c r="E541" s="49"/>
    </row>
    <row r="542" spans="1:5">
      <c r="A542" s="49"/>
      <c r="C542" s="49"/>
      <c r="D542" s="49"/>
      <c r="E542" s="49"/>
    </row>
    <row r="543" spans="1:5">
      <c r="A543" s="49"/>
      <c r="C543" s="49"/>
      <c r="D543" s="49"/>
      <c r="E543" s="49"/>
    </row>
    <row r="544" spans="1:5">
      <c r="A544" s="49"/>
      <c r="C544" s="49"/>
      <c r="D544" s="49"/>
      <c r="E544" s="49"/>
    </row>
    <row r="545" spans="1:5">
      <c r="A545" s="49"/>
      <c r="C545" s="49"/>
      <c r="D545" s="49"/>
      <c r="E545" s="49"/>
    </row>
    <row r="546" spans="1:5">
      <c r="A546" s="49"/>
      <c r="C546" s="49"/>
      <c r="D546" s="49"/>
      <c r="E546" s="49"/>
    </row>
    <row r="547" spans="1:5">
      <c r="A547" s="49"/>
      <c r="C547" s="49"/>
      <c r="D547" s="49"/>
      <c r="E547" s="49"/>
    </row>
    <row r="548" spans="1:5">
      <c r="A548" s="49"/>
      <c r="C548" s="49"/>
      <c r="D548" s="49"/>
      <c r="E548" s="49"/>
    </row>
    <row r="549" spans="1:5">
      <c r="A549" s="49"/>
      <c r="C549" s="49"/>
      <c r="D549" s="49"/>
      <c r="E549" s="49"/>
    </row>
    <row r="550" spans="1:5">
      <c r="A550" s="49"/>
      <c r="C550" s="49"/>
      <c r="D550" s="49"/>
      <c r="E550" s="49"/>
    </row>
    <row r="551" spans="1:5">
      <c r="A551" s="49"/>
      <c r="C551" s="49"/>
      <c r="D551" s="49"/>
      <c r="E551" s="49"/>
    </row>
    <row r="552" spans="1:5">
      <c r="A552" s="49"/>
      <c r="C552" s="49"/>
      <c r="D552" s="49"/>
      <c r="E552" s="49"/>
    </row>
    <row r="553" spans="1:5">
      <c r="A553" s="49"/>
      <c r="C553" s="49"/>
      <c r="D553" s="49"/>
      <c r="E553" s="49"/>
    </row>
    <row r="554" spans="1:5">
      <c r="A554" s="49"/>
      <c r="C554" s="49"/>
      <c r="D554" s="49"/>
      <c r="E554" s="49"/>
    </row>
    <row r="555" spans="1:5">
      <c r="A555" s="49"/>
      <c r="C555" s="49"/>
      <c r="D555" s="49"/>
      <c r="E555" s="49"/>
    </row>
    <row r="556" spans="1:5">
      <c r="A556" s="49"/>
      <c r="C556" s="49"/>
      <c r="D556" s="49"/>
      <c r="E556" s="49"/>
    </row>
    <row r="557" spans="1:5">
      <c r="A557" s="49"/>
      <c r="C557" s="49"/>
      <c r="D557" s="49"/>
      <c r="E557" s="49"/>
    </row>
    <row r="558" spans="1:5">
      <c r="A558" s="49"/>
      <c r="C558" s="49"/>
      <c r="D558" s="49"/>
      <c r="E558" s="49"/>
    </row>
    <row r="559" spans="1:5">
      <c r="A559" s="49"/>
      <c r="C559" s="49"/>
      <c r="D559" s="49"/>
      <c r="E559" s="49"/>
    </row>
    <row r="560" spans="1:5">
      <c r="A560" s="49"/>
      <c r="C560" s="49"/>
      <c r="D560" s="49"/>
      <c r="E560" s="49"/>
    </row>
    <row r="561" spans="1:5">
      <c r="A561" s="49"/>
      <c r="C561" s="49"/>
      <c r="D561" s="49"/>
      <c r="E561" s="49"/>
    </row>
    <row r="562" spans="1:5">
      <c r="A562" s="49"/>
      <c r="C562" s="49"/>
      <c r="D562" s="49"/>
      <c r="E562" s="49"/>
    </row>
    <row r="563" spans="1:5">
      <c r="A563" s="49"/>
      <c r="C563" s="49"/>
      <c r="D563" s="49"/>
      <c r="E563" s="49"/>
    </row>
    <row r="564" spans="1:5">
      <c r="A564" s="49"/>
      <c r="C564" s="49"/>
      <c r="D564" s="49"/>
      <c r="E564" s="49"/>
    </row>
    <row r="565" spans="1:5">
      <c r="A565" s="49"/>
      <c r="C565" s="49"/>
      <c r="D565" s="49"/>
      <c r="E565" s="49"/>
    </row>
    <row r="566" spans="1:5">
      <c r="A566" s="49"/>
      <c r="C566" s="49"/>
      <c r="D566" s="49"/>
      <c r="E566" s="49"/>
    </row>
    <row r="567" spans="1:5">
      <c r="A567" s="49"/>
      <c r="C567" s="49"/>
      <c r="D567" s="49"/>
      <c r="E567" s="49"/>
    </row>
    <row r="568" spans="1:5">
      <c r="A568" s="49"/>
      <c r="C568" s="49"/>
      <c r="D568" s="49"/>
      <c r="E568" s="49"/>
    </row>
    <row r="569" spans="1:5">
      <c r="A569" s="49"/>
      <c r="C569" s="49"/>
      <c r="D569" s="49"/>
      <c r="E569" s="49"/>
    </row>
    <row r="570" spans="1:5">
      <c r="A570" s="49"/>
      <c r="C570" s="49"/>
      <c r="D570" s="49"/>
      <c r="E570" s="49"/>
    </row>
    <row r="571" spans="1:5">
      <c r="A571" s="49"/>
      <c r="C571" s="49"/>
      <c r="D571" s="49"/>
      <c r="E571" s="49"/>
    </row>
    <row r="572" spans="1:5">
      <c r="A572" s="49"/>
      <c r="C572" s="49"/>
      <c r="D572" s="49"/>
      <c r="E572" s="49"/>
    </row>
    <row r="573" spans="1:5">
      <c r="A573" s="49"/>
      <c r="C573" s="49"/>
      <c r="D573" s="49"/>
      <c r="E573" s="49"/>
    </row>
    <row r="574" spans="1:5">
      <c r="A574" s="49"/>
      <c r="C574" s="49"/>
      <c r="D574" s="49"/>
      <c r="E574" s="49"/>
    </row>
    <row r="575" spans="1:5">
      <c r="A575" s="49"/>
      <c r="C575" s="49"/>
      <c r="D575" s="49"/>
      <c r="E575" s="49"/>
    </row>
    <row r="576" spans="1:5">
      <c r="A576" s="49"/>
      <c r="C576" s="49"/>
      <c r="D576" s="49"/>
      <c r="E576" s="49"/>
    </row>
    <row r="577" spans="1:5">
      <c r="A577" s="49"/>
      <c r="C577" s="49"/>
      <c r="D577" s="49"/>
      <c r="E577" s="49"/>
    </row>
    <row r="578" spans="1:5">
      <c r="A578" s="49"/>
      <c r="C578" s="49"/>
      <c r="D578" s="49"/>
      <c r="E578" s="49"/>
    </row>
    <row r="579" spans="1:5">
      <c r="A579" s="49"/>
      <c r="C579" s="49"/>
      <c r="D579" s="49"/>
      <c r="E579" s="49"/>
    </row>
    <row r="580" spans="1:5">
      <c r="A580" s="49"/>
      <c r="C580" s="49"/>
      <c r="D580" s="49"/>
      <c r="E580" s="49"/>
    </row>
    <row r="581" spans="1:5">
      <c r="A581" s="49"/>
      <c r="C581" s="49"/>
      <c r="D581" s="49"/>
      <c r="E581" s="49"/>
    </row>
    <row r="582" spans="1:5">
      <c r="A582" s="49"/>
      <c r="C582" s="49"/>
      <c r="D582" s="49"/>
      <c r="E582" s="49"/>
    </row>
    <row r="583" spans="1:5">
      <c r="A583" s="49"/>
      <c r="C583" s="49"/>
      <c r="D583" s="49"/>
      <c r="E583" s="49"/>
    </row>
    <row r="584" spans="1:5">
      <c r="A584" s="49"/>
      <c r="C584" s="49"/>
      <c r="D584" s="49"/>
      <c r="E584" s="49"/>
    </row>
    <row r="585" spans="1:5">
      <c r="A585" s="49"/>
      <c r="C585" s="49"/>
      <c r="D585" s="49"/>
      <c r="E585" s="49"/>
    </row>
    <row r="586" spans="1:5">
      <c r="A586" s="49"/>
      <c r="C586" s="49"/>
      <c r="D586" s="49"/>
      <c r="E586" s="49"/>
    </row>
    <row r="587" spans="1:5">
      <c r="A587" s="49"/>
      <c r="C587" s="49"/>
      <c r="D587" s="49"/>
      <c r="E587" s="49"/>
    </row>
    <row r="588" spans="1:5">
      <c r="A588" s="49"/>
      <c r="C588" s="49"/>
      <c r="D588" s="49"/>
      <c r="E588" s="49"/>
    </row>
    <row r="589" spans="1:5">
      <c r="A589" s="49"/>
      <c r="C589" s="49"/>
      <c r="D589" s="49"/>
      <c r="E589" s="49"/>
    </row>
    <row r="590" spans="1:5">
      <c r="A590" s="49"/>
      <c r="C590" s="49"/>
      <c r="D590" s="49"/>
      <c r="E590" s="49"/>
    </row>
    <row r="591" spans="1:5">
      <c r="A591" s="49"/>
      <c r="C591" s="49"/>
      <c r="D591" s="49"/>
      <c r="E591" s="49"/>
    </row>
    <row r="592" spans="1:5">
      <c r="A592" s="49"/>
      <c r="C592" s="49"/>
      <c r="D592" s="49"/>
      <c r="E592" s="49"/>
    </row>
    <row r="593" spans="1:5">
      <c r="A593" s="49"/>
      <c r="C593" s="49"/>
      <c r="D593" s="49"/>
      <c r="E593" s="49"/>
    </row>
    <row r="594" spans="1:5">
      <c r="A594" s="49"/>
      <c r="C594" s="49"/>
      <c r="D594" s="49"/>
      <c r="E594" s="49"/>
    </row>
    <row r="595" spans="1:5">
      <c r="A595" s="49"/>
      <c r="C595" s="49"/>
      <c r="D595" s="49"/>
      <c r="E595" s="49"/>
    </row>
    <row r="596" spans="1:5">
      <c r="A596" s="49"/>
      <c r="C596" s="49"/>
      <c r="D596" s="49"/>
      <c r="E596" s="49"/>
    </row>
    <row r="597" spans="1:5">
      <c r="A597" s="49"/>
      <c r="C597" s="49"/>
      <c r="D597" s="49"/>
      <c r="E597" s="49"/>
    </row>
    <row r="598" spans="1:5">
      <c r="A598" s="49"/>
      <c r="C598" s="49"/>
      <c r="D598" s="49"/>
      <c r="E598" s="49"/>
    </row>
    <row r="599" spans="1:5">
      <c r="A599" s="49"/>
      <c r="C599" s="49"/>
      <c r="D599" s="49"/>
      <c r="E599" s="49"/>
    </row>
    <row r="600" spans="1:5">
      <c r="A600" s="49"/>
      <c r="C600" s="49"/>
      <c r="D600" s="49"/>
      <c r="E600" s="49"/>
    </row>
    <row r="601" spans="1:5">
      <c r="A601" s="49"/>
      <c r="C601" s="49"/>
      <c r="D601" s="49"/>
      <c r="E601" s="49"/>
    </row>
    <row r="602" spans="1:5">
      <c r="A602" s="49"/>
      <c r="C602" s="49"/>
      <c r="D602" s="49"/>
      <c r="E602" s="49"/>
    </row>
    <row r="603" spans="1:5">
      <c r="A603" s="49"/>
      <c r="C603" s="49"/>
      <c r="D603" s="49"/>
      <c r="E603" s="49"/>
    </row>
    <row r="604" spans="1:5">
      <c r="A604" s="49"/>
      <c r="C604" s="49"/>
      <c r="D604" s="49"/>
      <c r="E604" s="49"/>
    </row>
    <row r="605" spans="1:5">
      <c r="A605" s="49"/>
      <c r="C605" s="49"/>
      <c r="D605" s="49"/>
      <c r="E605" s="49"/>
    </row>
    <row r="606" spans="1:5">
      <c r="A606" s="49"/>
      <c r="C606" s="49"/>
      <c r="D606" s="49"/>
      <c r="E606" s="49"/>
    </row>
    <row r="607" spans="1:5">
      <c r="A607" s="49"/>
      <c r="C607" s="49"/>
      <c r="D607" s="49"/>
      <c r="E607" s="49"/>
    </row>
    <row r="608" spans="1:5">
      <c r="A608" s="49"/>
      <c r="C608" s="49"/>
      <c r="D608" s="49"/>
      <c r="E608" s="49"/>
    </row>
    <row r="609" spans="1:5">
      <c r="A609" s="49"/>
      <c r="C609" s="49"/>
      <c r="D609" s="49"/>
      <c r="E609" s="49"/>
    </row>
    <row r="610" spans="1:5">
      <c r="A610" s="49"/>
      <c r="C610" s="49"/>
      <c r="D610" s="49"/>
      <c r="E610" s="49"/>
    </row>
    <row r="611" spans="1:5">
      <c r="A611" s="49"/>
      <c r="C611" s="49"/>
      <c r="D611" s="49"/>
      <c r="E611" s="49"/>
    </row>
    <row r="612" spans="1:5">
      <c r="A612" s="49"/>
      <c r="C612" s="49"/>
      <c r="D612" s="49"/>
      <c r="E612" s="49"/>
    </row>
    <row r="613" spans="1:5">
      <c r="A613" s="49"/>
      <c r="C613" s="49"/>
      <c r="D613" s="49"/>
      <c r="E613" s="49"/>
    </row>
    <row r="614" spans="1:5">
      <c r="A614" s="49"/>
      <c r="C614" s="49"/>
      <c r="D614" s="49"/>
      <c r="E614" s="49"/>
    </row>
    <row r="615" spans="1:5">
      <c r="A615" s="49"/>
      <c r="C615" s="49"/>
      <c r="D615" s="49"/>
      <c r="E615" s="49"/>
    </row>
    <row r="616" spans="1:5">
      <c r="A616" s="49"/>
      <c r="C616" s="49"/>
      <c r="D616" s="49"/>
      <c r="E616" s="49"/>
    </row>
    <row r="617" spans="1:5">
      <c r="A617" s="49"/>
      <c r="C617" s="49"/>
      <c r="D617" s="49"/>
      <c r="E617" s="49"/>
    </row>
    <row r="618" spans="1:5">
      <c r="A618" s="49"/>
      <c r="C618" s="49"/>
      <c r="D618" s="49"/>
      <c r="E618" s="49"/>
    </row>
    <row r="619" spans="1:5">
      <c r="A619" s="49"/>
      <c r="C619" s="49"/>
      <c r="D619" s="49"/>
      <c r="E619" s="49"/>
    </row>
    <row r="620" spans="1:5">
      <c r="A620" s="49"/>
      <c r="C620" s="49"/>
      <c r="D620" s="49"/>
      <c r="E620" s="49"/>
    </row>
    <row r="621" spans="1:5">
      <c r="A621" s="49"/>
      <c r="C621" s="49"/>
      <c r="D621" s="49"/>
      <c r="E621" s="49"/>
    </row>
    <row r="622" spans="1:5">
      <c r="A622" s="49"/>
      <c r="C622" s="49"/>
      <c r="D622" s="49"/>
      <c r="E622" s="49"/>
    </row>
    <row r="623" spans="1:5">
      <c r="A623" s="49"/>
      <c r="C623" s="49"/>
      <c r="D623" s="49"/>
      <c r="E623" s="49"/>
    </row>
    <row r="624" spans="1:5">
      <c r="A624" s="49"/>
      <c r="C624" s="49"/>
      <c r="D624" s="49"/>
      <c r="E624" s="49"/>
    </row>
    <row r="625" spans="1:5">
      <c r="A625" s="49"/>
      <c r="C625" s="49"/>
      <c r="D625" s="49"/>
      <c r="E625" s="49"/>
    </row>
    <row r="626" spans="1:5">
      <c r="A626" s="49"/>
      <c r="C626" s="49"/>
      <c r="D626" s="49"/>
      <c r="E626" s="49"/>
    </row>
    <row r="627" spans="1:5">
      <c r="A627" s="49"/>
      <c r="C627" s="49"/>
      <c r="D627" s="49"/>
      <c r="E627" s="49"/>
    </row>
    <row r="628" spans="1:5">
      <c r="A628" s="49"/>
      <c r="C628" s="49"/>
      <c r="D628" s="49"/>
      <c r="E628" s="49"/>
    </row>
    <row r="629" spans="1:5">
      <c r="A629" s="49"/>
      <c r="C629" s="49"/>
      <c r="D629" s="49"/>
      <c r="E629" s="49"/>
    </row>
    <row r="630" spans="1:5">
      <c r="A630" s="49"/>
      <c r="C630" s="49"/>
      <c r="D630" s="49"/>
      <c r="E630" s="49"/>
    </row>
    <row r="631" spans="1:5">
      <c r="A631" s="49"/>
      <c r="C631" s="49"/>
      <c r="D631" s="49"/>
      <c r="E631" s="49"/>
    </row>
    <row r="632" spans="1:5">
      <c r="A632" s="49"/>
      <c r="C632" s="49"/>
      <c r="D632" s="49"/>
      <c r="E632" s="49"/>
    </row>
    <row r="633" spans="1:5">
      <c r="A633" s="49"/>
      <c r="C633" s="49"/>
      <c r="D633" s="49"/>
      <c r="E633" s="49"/>
    </row>
    <row r="634" spans="1:5">
      <c r="A634" s="49"/>
      <c r="C634" s="49"/>
      <c r="D634" s="49"/>
      <c r="E634" s="49"/>
    </row>
    <row r="635" spans="1:5">
      <c r="A635" s="49"/>
      <c r="C635" s="49"/>
      <c r="D635" s="49"/>
      <c r="E635" s="49"/>
    </row>
    <row r="636" spans="1:5">
      <c r="A636" s="49"/>
      <c r="C636" s="49"/>
      <c r="D636" s="49"/>
      <c r="E636" s="49"/>
    </row>
    <row r="637" spans="1:5">
      <c r="A637" s="49"/>
      <c r="C637" s="49"/>
      <c r="D637" s="49"/>
      <c r="E637" s="49"/>
    </row>
    <row r="638" spans="1:5">
      <c r="A638" s="49"/>
      <c r="C638" s="49"/>
      <c r="D638" s="49"/>
      <c r="E638" s="49"/>
    </row>
    <row r="639" spans="1:5">
      <c r="A639" s="49"/>
      <c r="C639" s="49"/>
      <c r="D639" s="49"/>
      <c r="E639" s="49"/>
    </row>
    <row r="640" spans="1:5">
      <c r="A640" s="49"/>
      <c r="C640" s="49"/>
      <c r="D640" s="49"/>
      <c r="E640" s="49"/>
    </row>
    <row r="641" spans="1:5">
      <c r="A641" s="49"/>
      <c r="C641" s="49"/>
      <c r="D641" s="49"/>
      <c r="E641" s="49"/>
    </row>
    <row r="642" spans="1:5">
      <c r="A642" s="49"/>
      <c r="C642" s="49"/>
      <c r="D642" s="49"/>
      <c r="E642" s="49"/>
    </row>
    <row r="643" spans="1:5">
      <c r="A643" s="49"/>
      <c r="C643" s="49"/>
      <c r="D643" s="49"/>
      <c r="E643" s="49"/>
    </row>
    <row r="644" spans="1:5">
      <c r="A644" s="49"/>
      <c r="C644" s="49"/>
      <c r="D644" s="49"/>
      <c r="E644" s="49"/>
    </row>
    <row r="645" spans="1:5">
      <c r="A645" s="49"/>
      <c r="C645" s="49"/>
      <c r="D645" s="49"/>
      <c r="E645" s="49"/>
    </row>
    <row r="646" spans="1:5">
      <c r="A646" s="49"/>
      <c r="C646" s="49"/>
      <c r="D646" s="49"/>
      <c r="E646" s="49"/>
    </row>
    <row r="647" spans="1:5">
      <c r="A647" s="49"/>
      <c r="C647" s="49"/>
      <c r="D647" s="49"/>
      <c r="E647" s="49"/>
    </row>
    <row r="648" spans="1:5">
      <c r="A648" s="49"/>
      <c r="C648" s="49"/>
      <c r="D648" s="49"/>
      <c r="E648" s="49"/>
    </row>
    <row r="649" spans="1:5">
      <c r="A649" s="49"/>
      <c r="C649" s="49"/>
      <c r="D649" s="49"/>
      <c r="E649" s="49"/>
    </row>
    <row r="650" spans="1:5">
      <c r="A650" s="49"/>
      <c r="C650" s="49"/>
      <c r="D650" s="49"/>
      <c r="E650" s="49"/>
    </row>
    <row r="651" spans="1:5">
      <c r="A651" s="49"/>
      <c r="C651" s="49"/>
      <c r="D651" s="49"/>
      <c r="E651" s="49"/>
    </row>
    <row r="652" spans="1:5">
      <c r="A652" s="49"/>
      <c r="C652" s="49"/>
      <c r="D652" s="49"/>
      <c r="E652" s="49"/>
    </row>
    <row r="653" spans="1:5">
      <c r="A653" s="49"/>
      <c r="C653" s="49"/>
      <c r="D653" s="49"/>
      <c r="E653" s="49"/>
    </row>
    <row r="654" spans="1:5">
      <c r="A654" s="49"/>
      <c r="C654" s="49"/>
      <c r="D654" s="49"/>
      <c r="E654" s="49"/>
    </row>
    <row r="655" spans="1:5">
      <c r="A655" s="49"/>
      <c r="C655" s="49"/>
      <c r="D655" s="49"/>
      <c r="E655" s="49"/>
    </row>
    <row r="656" spans="1:5">
      <c r="A656" s="49"/>
      <c r="C656" s="49"/>
      <c r="D656" s="49"/>
      <c r="E656" s="49"/>
    </row>
    <row r="657" spans="1:5">
      <c r="A657" s="49"/>
      <c r="C657" s="49"/>
      <c r="D657" s="49"/>
      <c r="E657" s="49"/>
    </row>
    <row r="658" spans="1:5">
      <c r="A658" s="49"/>
      <c r="C658" s="49"/>
      <c r="D658" s="49"/>
      <c r="E658" s="49"/>
    </row>
    <row r="659" spans="1:5">
      <c r="A659" s="49"/>
      <c r="C659" s="49"/>
      <c r="D659" s="49"/>
      <c r="E659" s="49"/>
    </row>
    <row r="660" spans="1:5">
      <c r="A660" s="49"/>
      <c r="C660" s="49"/>
      <c r="D660" s="49"/>
      <c r="E660" s="49"/>
    </row>
    <row r="661" spans="1:5">
      <c r="A661" s="49"/>
      <c r="C661" s="49"/>
      <c r="D661" s="49"/>
      <c r="E661" s="49"/>
    </row>
    <row r="662" spans="1:5">
      <c r="A662" s="49"/>
      <c r="C662" s="49"/>
      <c r="D662" s="49"/>
      <c r="E662" s="49"/>
    </row>
    <row r="663" spans="1:5">
      <c r="A663" s="49"/>
      <c r="C663" s="49"/>
      <c r="D663" s="49"/>
      <c r="E663" s="49"/>
    </row>
    <row r="664" spans="1:5">
      <c r="A664" s="49"/>
      <c r="C664" s="49"/>
      <c r="D664" s="49"/>
      <c r="E664" s="49"/>
    </row>
    <row r="665" spans="1:5">
      <c r="A665" s="49"/>
      <c r="C665" s="49"/>
      <c r="D665" s="49"/>
      <c r="E665" s="49"/>
    </row>
    <row r="666" spans="1:5">
      <c r="A666" s="49"/>
      <c r="C666" s="49"/>
      <c r="D666" s="49"/>
      <c r="E666" s="49"/>
    </row>
    <row r="667" spans="1:5">
      <c r="A667" s="49"/>
      <c r="C667" s="49"/>
      <c r="D667" s="49"/>
      <c r="E667" s="49"/>
    </row>
    <row r="668" spans="1:5">
      <c r="A668" s="49"/>
      <c r="C668" s="49"/>
      <c r="D668" s="49"/>
      <c r="E668" s="49"/>
    </row>
    <row r="669" spans="1:5">
      <c r="A669" s="49"/>
      <c r="C669" s="49"/>
      <c r="D669" s="49"/>
      <c r="E669" s="49"/>
    </row>
    <row r="670" spans="1:5">
      <c r="A670" s="49"/>
      <c r="C670" s="49"/>
      <c r="D670" s="49"/>
      <c r="E670" s="49"/>
    </row>
    <row r="671" spans="1:5">
      <c r="A671" s="49"/>
      <c r="C671" s="49"/>
      <c r="D671" s="49"/>
      <c r="E671" s="49"/>
    </row>
    <row r="672" spans="1:5">
      <c r="A672" s="49"/>
      <c r="C672" s="49"/>
      <c r="D672" s="49"/>
      <c r="E672" s="49"/>
    </row>
    <row r="673" spans="1:5">
      <c r="A673" s="49"/>
      <c r="C673" s="49"/>
      <c r="D673" s="49"/>
      <c r="E673" s="49"/>
    </row>
    <row r="674" spans="1:5">
      <c r="A674" s="49"/>
      <c r="C674" s="49"/>
      <c r="D674" s="49"/>
      <c r="E674" s="49"/>
    </row>
    <row r="675" spans="1:5">
      <c r="A675" s="49"/>
      <c r="C675" s="49"/>
      <c r="D675" s="49"/>
      <c r="E675" s="49"/>
    </row>
    <row r="676" spans="1:5">
      <c r="A676" s="49"/>
      <c r="C676" s="49"/>
      <c r="D676" s="49"/>
      <c r="E676" s="49"/>
    </row>
    <row r="677" spans="1:5">
      <c r="A677" s="49"/>
      <c r="C677" s="49"/>
      <c r="D677" s="49"/>
      <c r="E677" s="49"/>
    </row>
    <row r="678" spans="1:5">
      <c r="A678" s="49"/>
      <c r="C678" s="49"/>
      <c r="D678" s="49"/>
      <c r="E678" s="49"/>
    </row>
    <row r="679" spans="1:5">
      <c r="A679" s="49"/>
      <c r="C679" s="49"/>
      <c r="D679" s="49"/>
      <c r="E679" s="49"/>
    </row>
    <row r="680" spans="1:5">
      <c r="A680" s="49"/>
      <c r="C680" s="49"/>
      <c r="D680" s="49"/>
      <c r="E680" s="49"/>
    </row>
    <row r="681" spans="1:5">
      <c r="A681" s="49"/>
      <c r="C681" s="49"/>
      <c r="D681" s="49"/>
      <c r="E681" s="49"/>
    </row>
    <row r="682" spans="1:5">
      <c r="A682" s="49"/>
      <c r="C682" s="49"/>
      <c r="D682" s="49"/>
      <c r="E682" s="49"/>
    </row>
    <row r="683" spans="1:5">
      <c r="A683" s="49"/>
      <c r="C683" s="49"/>
      <c r="D683" s="49"/>
      <c r="E683" s="49"/>
    </row>
    <row r="684" spans="1:5">
      <c r="A684" s="49"/>
      <c r="C684" s="49"/>
      <c r="D684" s="49"/>
      <c r="E684" s="49"/>
    </row>
    <row r="685" spans="1:5">
      <c r="A685" s="49"/>
      <c r="C685" s="49"/>
      <c r="D685" s="49"/>
      <c r="E685" s="49"/>
    </row>
    <row r="686" spans="1:5">
      <c r="A686" s="49"/>
      <c r="C686" s="49"/>
      <c r="D686" s="49"/>
      <c r="E686" s="49"/>
    </row>
    <row r="687" spans="1:5">
      <c r="A687" s="49"/>
      <c r="C687" s="49"/>
      <c r="D687" s="49"/>
      <c r="E687" s="49"/>
    </row>
    <row r="688" spans="1:5">
      <c r="A688" s="49"/>
      <c r="C688" s="49"/>
      <c r="D688" s="49"/>
      <c r="E688" s="49"/>
    </row>
    <row r="689" spans="1:5">
      <c r="A689" s="49"/>
      <c r="C689" s="49"/>
      <c r="D689" s="49"/>
      <c r="E689" s="49"/>
    </row>
    <row r="690" spans="1:5">
      <c r="A690" s="49"/>
      <c r="C690" s="49"/>
      <c r="D690" s="49"/>
      <c r="E690" s="49"/>
    </row>
    <row r="691" spans="1:5">
      <c r="A691" s="49"/>
      <c r="C691" s="49"/>
      <c r="D691" s="49"/>
      <c r="E691" s="49"/>
    </row>
    <row r="692" spans="1:5">
      <c r="A692" s="49"/>
      <c r="C692" s="49"/>
      <c r="D692" s="49"/>
      <c r="E692" s="49"/>
    </row>
    <row r="693" spans="1:5">
      <c r="A693" s="49"/>
      <c r="C693" s="49"/>
      <c r="D693" s="49"/>
      <c r="E693" s="49"/>
    </row>
    <row r="694" spans="1:5">
      <c r="A694" s="49"/>
      <c r="C694" s="49"/>
      <c r="D694" s="49"/>
      <c r="E694" s="49"/>
    </row>
    <row r="695" spans="1:5">
      <c r="A695" s="49"/>
      <c r="C695" s="49"/>
      <c r="D695" s="49"/>
      <c r="E695" s="49"/>
    </row>
    <row r="696" spans="1:5">
      <c r="A696" s="49"/>
      <c r="C696" s="49"/>
      <c r="D696" s="49"/>
      <c r="E696" s="49"/>
    </row>
    <row r="697" spans="1:5">
      <c r="A697" s="49"/>
      <c r="C697" s="49"/>
      <c r="D697" s="49"/>
      <c r="E697" s="49"/>
    </row>
    <row r="698" spans="1:5">
      <c r="A698" s="49"/>
      <c r="C698" s="49"/>
      <c r="D698" s="49"/>
      <c r="E698" s="49"/>
    </row>
    <row r="699" spans="1:5">
      <c r="A699" s="49"/>
      <c r="C699" s="49"/>
      <c r="D699" s="49"/>
      <c r="E699" s="49"/>
    </row>
    <row r="700" spans="1:5">
      <c r="A700" s="49"/>
      <c r="C700" s="49"/>
      <c r="D700" s="49"/>
      <c r="E700" s="49"/>
    </row>
    <row r="701" spans="1:5">
      <c r="A701" s="49"/>
      <c r="C701" s="49"/>
      <c r="D701" s="49"/>
      <c r="E701" s="49"/>
    </row>
    <row r="702" spans="1:5">
      <c r="A702" s="49"/>
      <c r="C702" s="49"/>
      <c r="D702" s="49"/>
      <c r="E702" s="49"/>
    </row>
    <row r="703" spans="1:5">
      <c r="A703" s="49"/>
      <c r="C703" s="49"/>
      <c r="D703" s="49"/>
      <c r="E703" s="49"/>
    </row>
    <row r="704" spans="1:5">
      <c r="A704" s="49"/>
      <c r="C704" s="49"/>
      <c r="D704" s="49"/>
      <c r="E704" s="49"/>
    </row>
    <row r="705" spans="1:5">
      <c r="A705" s="49"/>
      <c r="C705" s="49"/>
      <c r="D705" s="49"/>
      <c r="E705" s="49"/>
    </row>
    <row r="706" spans="1:5">
      <c r="A706" s="49"/>
      <c r="C706" s="49"/>
      <c r="D706" s="49"/>
      <c r="E706" s="49"/>
    </row>
    <row r="707" spans="1:5">
      <c r="A707" s="49"/>
      <c r="C707" s="49"/>
      <c r="D707" s="49"/>
      <c r="E707" s="49"/>
    </row>
    <row r="708" spans="1:5">
      <c r="A708" s="49"/>
      <c r="C708" s="49"/>
      <c r="D708" s="49"/>
      <c r="E708" s="49"/>
    </row>
    <row r="709" spans="1:5">
      <c r="A709" s="49"/>
      <c r="C709" s="49"/>
      <c r="D709" s="49"/>
      <c r="E709" s="49"/>
    </row>
    <row r="710" spans="1:5">
      <c r="A710" s="49"/>
      <c r="C710" s="49"/>
      <c r="D710" s="49"/>
      <c r="E710" s="49"/>
    </row>
    <row r="711" spans="1:5">
      <c r="A711" s="49"/>
      <c r="C711" s="49"/>
      <c r="D711" s="49"/>
      <c r="E711" s="49"/>
    </row>
    <row r="712" spans="1:5">
      <c r="A712" s="49"/>
      <c r="C712" s="49"/>
      <c r="D712" s="49"/>
      <c r="E712" s="49"/>
    </row>
    <row r="713" spans="1:5">
      <c r="A713" s="49"/>
      <c r="C713" s="49"/>
      <c r="D713" s="49"/>
      <c r="E713" s="49"/>
    </row>
    <row r="714" spans="1:5">
      <c r="A714" s="49"/>
      <c r="C714" s="49"/>
      <c r="D714" s="49"/>
      <c r="E714" s="49"/>
    </row>
    <row r="715" spans="1:5">
      <c r="A715" s="49"/>
      <c r="C715" s="49"/>
      <c r="D715" s="49"/>
      <c r="E715" s="49"/>
    </row>
    <row r="716" spans="1:5">
      <c r="A716" s="49"/>
      <c r="C716" s="49"/>
      <c r="D716" s="49"/>
      <c r="E716" s="49"/>
    </row>
    <row r="717" spans="1:5">
      <c r="A717" s="49"/>
      <c r="C717" s="49"/>
      <c r="D717" s="49"/>
      <c r="E717" s="49"/>
    </row>
    <row r="718" spans="1:5">
      <c r="A718" s="49"/>
      <c r="C718" s="49"/>
      <c r="D718" s="49"/>
      <c r="E718" s="49"/>
    </row>
    <row r="719" spans="1:5">
      <c r="A719" s="49"/>
      <c r="C719" s="49"/>
      <c r="D719" s="49"/>
      <c r="E719" s="49"/>
    </row>
    <row r="720" spans="1:5">
      <c r="A720" s="49"/>
      <c r="C720" s="49"/>
      <c r="D720" s="49"/>
      <c r="E720" s="49"/>
    </row>
    <row r="721" spans="1:5">
      <c r="A721" s="49"/>
      <c r="C721" s="49"/>
      <c r="D721" s="49"/>
      <c r="E721" s="49"/>
    </row>
    <row r="722" spans="1:5">
      <c r="A722" s="49"/>
      <c r="C722" s="49"/>
      <c r="D722" s="49"/>
      <c r="E722" s="49"/>
    </row>
    <row r="723" spans="1:5">
      <c r="A723" s="49"/>
      <c r="C723" s="49"/>
      <c r="D723" s="49"/>
      <c r="E723" s="49"/>
    </row>
    <row r="724" spans="1:5">
      <c r="A724" s="49"/>
      <c r="C724" s="49"/>
      <c r="D724" s="49"/>
      <c r="E724" s="49"/>
    </row>
    <row r="725" spans="1:5">
      <c r="A725" s="49"/>
      <c r="C725" s="49"/>
      <c r="D725" s="49"/>
      <c r="E725" s="49"/>
    </row>
    <row r="726" spans="1:5">
      <c r="A726" s="49"/>
      <c r="C726" s="49"/>
      <c r="D726" s="49"/>
      <c r="E726" s="49"/>
    </row>
    <row r="727" spans="1:5">
      <c r="A727" s="49"/>
      <c r="C727" s="49"/>
      <c r="D727" s="49"/>
      <c r="E727" s="49"/>
    </row>
    <row r="728" spans="1:5">
      <c r="A728" s="49"/>
      <c r="C728" s="49"/>
      <c r="D728" s="49"/>
      <c r="E728" s="49"/>
    </row>
    <row r="729" spans="1:5">
      <c r="A729" s="49"/>
      <c r="C729" s="49"/>
      <c r="D729" s="49"/>
      <c r="E729" s="49"/>
    </row>
    <row r="730" spans="1:5">
      <c r="A730" s="49"/>
      <c r="C730" s="49"/>
      <c r="D730" s="49"/>
      <c r="E730" s="49"/>
    </row>
    <row r="731" spans="1:5">
      <c r="A731" s="49"/>
      <c r="C731" s="49"/>
      <c r="D731" s="49"/>
      <c r="E731" s="49"/>
    </row>
    <row r="732" spans="1:5">
      <c r="A732" s="49"/>
      <c r="C732" s="49"/>
      <c r="D732" s="49"/>
      <c r="E732" s="49"/>
    </row>
    <row r="733" spans="1:5">
      <c r="A733" s="49"/>
      <c r="C733" s="49"/>
      <c r="D733" s="49"/>
      <c r="E733" s="49"/>
    </row>
    <row r="734" spans="1:5">
      <c r="A734" s="49"/>
      <c r="C734" s="49"/>
      <c r="D734" s="49"/>
      <c r="E734" s="49"/>
    </row>
    <row r="735" spans="1:5">
      <c r="A735" s="49"/>
      <c r="C735" s="49"/>
      <c r="D735" s="49"/>
      <c r="E735" s="49"/>
    </row>
    <row r="736" spans="1:5">
      <c r="A736" s="49"/>
      <c r="C736" s="49"/>
      <c r="D736" s="49"/>
      <c r="E736" s="49"/>
    </row>
    <row r="737" spans="1:5">
      <c r="A737" s="49"/>
      <c r="C737" s="49"/>
      <c r="D737" s="49"/>
      <c r="E737" s="49"/>
    </row>
    <row r="738" spans="1:5">
      <c r="A738" s="49"/>
      <c r="C738" s="49"/>
      <c r="D738" s="49"/>
      <c r="E738" s="49"/>
    </row>
    <row r="739" spans="1:5">
      <c r="A739" s="49"/>
      <c r="C739" s="49"/>
      <c r="D739" s="49"/>
      <c r="E739" s="49"/>
    </row>
    <row r="740" spans="1:5">
      <c r="A740" s="49"/>
      <c r="C740" s="49"/>
      <c r="D740" s="49"/>
      <c r="E740" s="49"/>
    </row>
    <row r="741" spans="1:5">
      <c r="A741" s="49"/>
      <c r="C741" s="49"/>
      <c r="D741" s="49"/>
      <c r="E741" s="49"/>
    </row>
    <row r="742" spans="1:5">
      <c r="A742" s="49"/>
      <c r="C742" s="49"/>
      <c r="D742" s="49"/>
      <c r="E742" s="49"/>
    </row>
    <row r="743" spans="1:5">
      <c r="A743" s="49"/>
      <c r="C743" s="49"/>
      <c r="D743" s="49"/>
      <c r="E743" s="49"/>
    </row>
    <row r="744" spans="1:5">
      <c r="A744" s="49"/>
      <c r="C744" s="49"/>
      <c r="D744" s="49"/>
      <c r="E744" s="49"/>
    </row>
    <row r="745" spans="1:5">
      <c r="A745" s="49"/>
      <c r="C745" s="49"/>
      <c r="D745" s="49"/>
      <c r="E745" s="49"/>
    </row>
    <row r="746" spans="1:5">
      <c r="A746" s="49"/>
      <c r="C746" s="49"/>
      <c r="D746" s="49"/>
      <c r="E746" s="49"/>
    </row>
    <row r="747" spans="1:5">
      <c r="A747" s="49"/>
      <c r="C747" s="49"/>
      <c r="D747" s="49"/>
      <c r="E747" s="49"/>
    </row>
    <row r="748" spans="1:5">
      <c r="A748" s="49"/>
      <c r="C748" s="49"/>
      <c r="D748" s="49"/>
      <c r="E748" s="49"/>
    </row>
    <row r="749" spans="1:5">
      <c r="A749" s="49"/>
      <c r="C749" s="49"/>
      <c r="D749" s="49"/>
      <c r="E749" s="49"/>
    </row>
    <row r="750" spans="1:5">
      <c r="A750" s="49"/>
      <c r="C750" s="49"/>
      <c r="D750" s="49"/>
      <c r="E750" s="49"/>
    </row>
    <row r="751" spans="1:5">
      <c r="A751" s="49"/>
      <c r="C751" s="49"/>
      <c r="D751" s="49"/>
      <c r="E751" s="49"/>
    </row>
    <row r="752" spans="1:5">
      <c r="A752" s="49"/>
      <c r="C752" s="49"/>
      <c r="D752" s="49"/>
      <c r="E752" s="49"/>
    </row>
    <row r="753" spans="1:5">
      <c r="A753" s="49"/>
      <c r="C753" s="49"/>
      <c r="D753" s="49"/>
      <c r="E753" s="49"/>
    </row>
    <row r="754" spans="1:5">
      <c r="A754" s="49"/>
      <c r="C754" s="49"/>
      <c r="D754" s="49"/>
      <c r="E754" s="49"/>
    </row>
    <row r="755" spans="1:5">
      <c r="A755" s="49"/>
      <c r="C755" s="49"/>
      <c r="D755" s="49"/>
      <c r="E755" s="49"/>
    </row>
    <row r="756" spans="1:5">
      <c r="A756" s="49"/>
      <c r="C756" s="49"/>
      <c r="D756" s="49"/>
      <c r="E756" s="49"/>
    </row>
    <row r="757" spans="1:5">
      <c r="A757" s="49"/>
      <c r="C757" s="49"/>
      <c r="D757" s="49"/>
      <c r="E757" s="49"/>
    </row>
    <row r="758" spans="1:5">
      <c r="A758" s="49"/>
      <c r="C758" s="49"/>
      <c r="D758" s="49"/>
      <c r="E758" s="49"/>
    </row>
    <row r="759" spans="1:5">
      <c r="A759" s="49"/>
      <c r="C759" s="49"/>
      <c r="D759" s="49"/>
      <c r="E759" s="49"/>
    </row>
    <row r="760" spans="1:5">
      <c r="A760" s="49"/>
      <c r="C760" s="49"/>
      <c r="D760" s="49"/>
      <c r="E760" s="49"/>
    </row>
    <row r="761" spans="1:5">
      <c r="A761" s="49"/>
      <c r="C761" s="49"/>
      <c r="D761" s="49"/>
      <c r="E761" s="49"/>
    </row>
    <row r="762" spans="1:5">
      <c r="A762" s="49"/>
      <c r="C762" s="49"/>
      <c r="D762" s="49"/>
      <c r="E762" s="49"/>
    </row>
    <row r="763" spans="1:5">
      <c r="A763" s="49"/>
      <c r="C763" s="49"/>
      <c r="D763" s="49"/>
      <c r="E763" s="49"/>
    </row>
    <row r="764" spans="1:5">
      <c r="A764" s="49"/>
      <c r="C764" s="49"/>
      <c r="D764" s="49"/>
      <c r="E764" s="49"/>
    </row>
    <row r="765" spans="1:5">
      <c r="A765" s="49"/>
      <c r="C765" s="49"/>
      <c r="D765" s="49"/>
      <c r="E765" s="49"/>
    </row>
    <row r="766" spans="1:5">
      <c r="A766" s="49"/>
      <c r="C766" s="49"/>
      <c r="D766" s="49"/>
      <c r="E766" s="49"/>
    </row>
    <row r="767" spans="1:5">
      <c r="A767" s="49"/>
      <c r="C767" s="49"/>
      <c r="D767" s="49"/>
      <c r="E767" s="49"/>
    </row>
    <row r="768" spans="1:5">
      <c r="A768" s="49"/>
      <c r="C768" s="49"/>
      <c r="D768" s="49"/>
      <c r="E768" s="49"/>
    </row>
    <row r="769" spans="1:5">
      <c r="A769" s="49"/>
      <c r="C769" s="49"/>
      <c r="D769" s="49"/>
      <c r="E769" s="49"/>
    </row>
    <row r="770" spans="1:5">
      <c r="A770" s="49"/>
      <c r="C770" s="49"/>
      <c r="D770" s="49"/>
      <c r="E770" s="49"/>
    </row>
    <row r="771" spans="1:5">
      <c r="A771" s="49"/>
      <c r="C771" s="49"/>
      <c r="D771" s="49"/>
      <c r="E771" s="49"/>
    </row>
    <row r="772" spans="1:5">
      <c r="A772" s="49"/>
      <c r="C772" s="49"/>
      <c r="D772" s="49"/>
      <c r="E772" s="49"/>
    </row>
    <row r="773" spans="1:5">
      <c r="A773" s="49"/>
      <c r="C773" s="49"/>
      <c r="D773" s="49"/>
      <c r="E773" s="49"/>
    </row>
    <row r="774" spans="1:5">
      <c r="A774" s="49"/>
      <c r="C774" s="49"/>
      <c r="D774" s="49"/>
      <c r="E774" s="49"/>
    </row>
    <row r="775" spans="1:5">
      <c r="A775" s="49"/>
      <c r="C775" s="49"/>
      <c r="D775" s="49"/>
      <c r="E775" s="49"/>
    </row>
    <row r="776" spans="1:5">
      <c r="A776" s="49"/>
      <c r="C776" s="49"/>
      <c r="D776" s="49"/>
      <c r="E776" s="49"/>
    </row>
    <row r="777" spans="1:5">
      <c r="A777" s="49"/>
      <c r="C777" s="49"/>
      <c r="D777" s="49"/>
      <c r="E777" s="49"/>
    </row>
    <row r="778" spans="1:5">
      <c r="A778" s="49"/>
      <c r="C778" s="49"/>
      <c r="D778" s="49"/>
      <c r="E778" s="49"/>
    </row>
    <row r="779" spans="1:5">
      <c r="A779" s="49"/>
      <c r="C779" s="49"/>
      <c r="D779" s="49"/>
      <c r="E779" s="49"/>
    </row>
    <row r="780" spans="1:5">
      <c r="A780" s="49"/>
      <c r="C780" s="49"/>
      <c r="D780" s="49"/>
      <c r="E780" s="49"/>
    </row>
    <row r="781" spans="1:5">
      <c r="A781" s="49"/>
      <c r="C781" s="49"/>
      <c r="D781" s="49"/>
      <c r="E781" s="49"/>
    </row>
    <row r="782" spans="1:5">
      <c r="A782" s="49"/>
      <c r="C782" s="49"/>
      <c r="D782" s="49"/>
      <c r="E782" s="49"/>
    </row>
    <row r="783" spans="1:5">
      <c r="A783" s="49"/>
      <c r="C783" s="49"/>
      <c r="D783" s="49"/>
      <c r="E783" s="49"/>
    </row>
    <row r="784" spans="1:5">
      <c r="A784" s="49"/>
      <c r="C784" s="49"/>
      <c r="D784" s="49"/>
      <c r="E784" s="49"/>
    </row>
    <row r="785" spans="1:5">
      <c r="A785" s="49"/>
      <c r="C785" s="49"/>
      <c r="D785" s="49"/>
      <c r="E785" s="49"/>
    </row>
    <row r="786" spans="1:5">
      <c r="A786" s="49"/>
      <c r="C786" s="49"/>
      <c r="D786" s="49"/>
      <c r="E786" s="49"/>
    </row>
    <row r="787" spans="1:5">
      <c r="A787" s="49"/>
      <c r="C787" s="49"/>
      <c r="D787" s="49"/>
      <c r="E787" s="49"/>
    </row>
    <row r="788" spans="1:5">
      <c r="A788" s="49"/>
      <c r="C788" s="49"/>
      <c r="D788" s="49"/>
      <c r="E788" s="49"/>
    </row>
    <row r="789" spans="1:5">
      <c r="A789" s="49"/>
      <c r="C789" s="49"/>
      <c r="D789" s="49"/>
      <c r="E789" s="49"/>
    </row>
    <row r="790" spans="1:5">
      <c r="A790" s="49"/>
      <c r="C790" s="49"/>
      <c r="D790" s="49"/>
      <c r="E790" s="49"/>
    </row>
    <row r="791" spans="1:5">
      <c r="A791" s="49"/>
      <c r="C791" s="49"/>
      <c r="D791" s="49"/>
      <c r="E791" s="49"/>
    </row>
    <row r="792" spans="1:5">
      <c r="A792" s="49"/>
      <c r="C792" s="49"/>
      <c r="D792" s="49"/>
      <c r="E792" s="49"/>
    </row>
    <row r="793" spans="1:5">
      <c r="A793" s="49"/>
      <c r="C793" s="49"/>
      <c r="D793" s="49"/>
      <c r="E793" s="49"/>
    </row>
    <row r="794" spans="1:5">
      <c r="A794" s="49"/>
      <c r="C794" s="49"/>
      <c r="D794" s="49"/>
      <c r="E794" s="49"/>
    </row>
    <row r="795" spans="1:5">
      <c r="A795" s="49"/>
      <c r="C795" s="49"/>
      <c r="D795" s="49"/>
      <c r="E795" s="49"/>
    </row>
    <row r="796" spans="1:5">
      <c r="A796" s="49"/>
      <c r="C796" s="49"/>
      <c r="D796" s="49"/>
      <c r="E796" s="49"/>
    </row>
    <row r="797" spans="1:5">
      <c r="A797" s="49"/>
      <c r="C797" s="49"/>
      <c r="D797" s="49"/>
      <c r="E797" s="49"/>
    </row>
    <row r="798" spans="1:5">
      <c r="A798" s="49"/>
      <c r="C798" s="49"/>
      <c r="D798" s="49"/>
      <c r="E798" s="49"/>
    </row>
    <row r="799" spans="1:5">
      <c r="A799" s="49"/>
      <c r="C799" s="49"/>
      <c r="D799" s="49"/>
      <c r="E799" s="49"/>
    </row>
    <row r="800" spans="1:5">
      <c r="A800" s="49"/>
      <c r="C800" s="49"/>
      <c r="D800" s="49"/>
      <c r="E800" s="49"/>
    </row>
    <row r="801" spans="1:5">
      <c r="A801" s="49"/>
      <c r="C801" s="49"/>
      <c r="D801" s="49"/>
      <c r="E801" s="49"/>
    </row>
    <row r="802" spans="1:5">
      <c r="A802" s="49"/>
      <c r="C802" s="49"/>
      <c r="D802" s="49"/>
      <c r="E802" s="49"/>
    </row>
    <row r="803" spans="1:5">
      <c r="A803" s="49"/>
      <c r="C803" s="49"/>
      <c r="D803" s="49"/>
      <c r="E803" s="49"/>
    </row>
    <row r="804" spans="1:5">
      <c r="A804" s="49"/>
      <c r="C804" s="49"/>
      <c r="D804" s="49"/>
      <c r="E804" s="49"/>
    </row>
    <row r="805" spans="1:5">
      <c r="A805" s="49"/>
      <c r="C805" s="49"/>
      <c r="D805" s="49"/>
      <c r="E805" s="49"/>
    </row>
    <row r="806" spans="1:5">
      <c r="A806" s="49"/>
      <c r="C806" s="49"/>
      <c r="D806" s="49"/>
      <c r="E806" s="49"/>
    </row>
    <row r="807" spans="1:5">
      <c r="A807" s="49"/>
      <c r="C807" s="49"/>
      <c r="D807" s="49"/>
      <c r="E807" s="49"/>
    </row>
    <row r="808" spans="1:5">
      <c r="A808" s="49"/>
      <c r="C808" s="49"/>
      <c r="D808" s="49"/>
      <c r="E808" s="49"/>
    </row>
    <row r="809" spans="1:5">
      <c r="A809" s="49"/>
      <c r="C809" s="49"/>
      <c r="D809" s="49"/>
      <c r="E809" s="49"/>
    </row>
    <row r="810" spans="1:5">
      <c r="A810" s="49"/>
      <c r="C810" s="49"/>
      <c r="D810" s="49"/>
      <c r="E810" s="49"/>
    </row>
    <row r="811" spans="1:5">
      <c r="A811" s="49"/>
      <c r="C811" s="49"/>
      <c r="D811" s="49"/>
      <c r="E811" s="49"/>
    </row>
    <row r="812" spans="1:5">
      <c r="A812" s="49"/>
      <c r="C812" s="49"/>
      <c r="D812" s="49"/>
      <c r="E812" s="49"/>
    </row>
    <row r="813" spans="1:5">
      <c r="A813" s="49"/>
      <c r="C813" s="49"/>
      <c r="D813" s="49"/>
      <c r="E813" s="49"/>
    </row>
    <row r="814" spans="1:5">
      <c r="A814" s="49"/>
      <c r="C814" s="49"/>
      <c r="D814" s="49"/>
      <c r="E814" s="49"/>
    </row>
    <row r="815" spans="1:5">
      <c r="A815" s="49"/>
      <c r="C815" s="49"/>
      <c r="D815" s="49"/>
      <c r="E815" s="49"/>
    </row>
    <row r="816" spans="1:5">
      <c r="A816" s="49"/>
      <c r="C816" s="49"/>
      <c r="D816" s="49"/>
      <c r="E816" s="49"/>
    </row>
    <row r="817" spans="1:5">
      <c r="A817" s="49"/>
      <c r="C817" s="49"/>
      <c r="D817" s="49"/>
      <c r="E817" s="49"/>
    </row>
    <row r="818" spans="1:5">
      <c r="A818" s="49"/>
      <c r="C818" s="49"/>
      <c r="D818" s="49"/>
      <c r="E818" s="49"/>
    </row>
    <row r="819" spans="1:5">
      <c r="A819" s="49"/>
      <c r="C819" s="49"/>
      <c r="D819" s="49"/>
      <c r="E819" s="49"/>
    </row>
    <row r="820" spans="1:5">
      <c r="A820" s="49"/>
      <c r="C820" s="49"/>
      <c r="D820" s="49"/>
      <c r="E820" s="49"/>
    </row>
    <row r="821" spans="1:5">
      <c r="A821" s="49"/>
      <c r="C821" s="49"/>
      <c r="D821" s="49"/>
      <c r="E821" s="49"/>
    </row>
    <row r="822" spans="1:5">
      <c r="A822" s="49"/>
      <c r="C822" s="49"/>
      <c r="D822" s="49"/>
      <c r="E822" s="49"/>
    </row>
    <row r="823" spans="1:5">
      <c r="A823" s="49"/>
      <c r="C823" s="49"/>
      <c r="D823" s="49"/>
      <c r="E823" s="49"/>
    </row>
    <row r="824" spans="1:5">
      <c r="A824" s="49"/>
      <c r="C824" s="49"/>
      <c r="D824" s="49"/>
      <c r="E824" s="49"/>
    </row>
    <row r="825" spans="1:5">
      <c r="A825" s="49"/>
      <c r="C825" s="49"/>
      <c r="D825" s="49"/>
      <c r="E825" s="49"/>
    </row>
    <row r="826" spans="1:5">
      <c r="A826" s="49"/>
      <c r="C826" s="49"/>
      <c r="D826" s="49"/>
      <c r="E826" s="49"/>
    </row>
    <row r="827" spans="1:5">
      <c r="A827" s="49"/>
      <c r="C827" s="49"/>
      <c r="D827" s="49"/>
      <c r="E827" s="49"/>
    </row>
    <row r="828" spans="1:5">
      <c r="A828" s="49"/>
      <c r="C828" s="49"/>
      <c r="D828" s="49"/>
      <c r="E828" s="49"/>
    </row>
    <row r="829" spans="1:5">
      <c r="A829" s="49"/>
      <c r="C829" s="49"/>
      <c r="D829" s="49"/>
      <c r="E829" s="49"/>
    </row>
    <row r="830" spans="1:5">
      <c r="A830" s="49"/>
      <c r="C830" s="49"/>
      <c r="D830" s="49"/>
      <c r="E830" s="49"/>
    </row>
    <row r="831" spans="1:5">
      <c r="A831" s="49"/>
      <c r="C831" s="49"/>
      <c r="D831" s="49"/>
      <c r="E831" s="49"/>
    </row>
    <row r="832" spans="1:5">
      <c r="A832" s="49"/>
      <c r="C832" s="49"/>
      <c r="D832" s="49"/>
      <c r="E832" s="49"/>
    </row>
    <row r="833" spans="1:5">
      <c r="A833" s="49"/>
      <c r="C833" s="49"/>
      <c r="D833" s="49"/>
      <c r="E833" s="49"/>
    </row>
    <row r="834" spans="1:5">
      <c r="A834" s="49"/>
      <c r="C834" s="49"/>
      <c r="D834" s="49"/>
      <c r="E834" s="49"/>
    </row>
    <row r="835" spans="1:5">
      <c r="A835" s="49"/>
      <c r="C835" s="49"/>
      <c r="D835" s="49"/>
      <c r="E835" s="49"/>
    </row>
    <row r="836" spans="1:5">
      <c r="A836" s="49"/>
      <c r="C836" s="49"/>
      <c r="D836" s="49"/>
      <c r="E836" s="49"/>
    </row>
    <row r="837" spans="1:5">
      <c r="A837" s="49"/>
      <c r="C837" s="49"/>
      <c r="D837" s="49"/>
      <c r="E837" s="49"/>
    </row>
    <row r="838" spans="1:5">
      <c r="A838" s="49"/>
      <c r="C838" s="49"/>
      <c r="D838" s="49"/>
      <c r="E838" s="49"/>
    </row>
    <row r="839" spans="1:5">
      <c r="A839" s="49"/>
      <c r="C839" s="49"/>
      <c r="D839" s="49"/>
      <c r="E839" s="49"/>
    </row>
    <row r="840" spans="1:5">
      <c r="A840" s="49"/>
      <c r="C840" s="49"/>
      <c r="D840" s="49"/>
      <c r="E840" s="49"/>
    </row>
    <row r="841" spans="1:5">
      <c r="A841" s="49"/>
      <c r="C841" s="49"/>
      <c r="D841" s="49"/>
      <c r="E841" s="49"/>
    </row>
    <row r="842" spans="1:5">
      <c r="A842" s="49"/>
      <c r="C842" s="49"/>
      <c r="D842" s="49"/>
      <c r="E842" s="49"/>
    </row>
    <row r="843" spans="1:5">
      <c r="A843" s="49"/>
      <c r="C843" s="49"/>
      <c r="D843" s="49"/>
      <c r="E843" s="49"/>
    </row>
    <row r="844" spans="1:5">
      <c r="A844" s="49"/>
      <c r="C844" s="49"/>
      <c r="D844" s="49"/>
      <c r="E844" s="49"/>
    </row>
    <row r="845" spans="1:5">
      <c r="A845" s="49"/>
      <c r="C845" s="49"/>
      <c r="D845" s="49"/>
      <c r="E845" s="49"/>
    </row>
    <row r="846" spans="1:5">
      <c r="A846" s="49"/>
      <c r="C846" s="49"/>
      <c r="D846" s="49"/>
      <c r="E846" s="49"/>
    </row>
    <row r="847" spans="1:5">
      <c r="A847" s="49"/>
      <c r="C847" s="49"/>
      <c r="D847" s="49"/>
      <c r="E847" s="49"/>
    </row>
    <row r="848" spans="1:5">
      <c r="A848" s="49"/>
      <c r="C848" s="49"/>
      <c r="D848" s="49"/>
      <c r="E848" s="49"/>
    </row>
    <row r="849" spans="1:5">
      <c r="A849" s="49"/>
      <c r="C849" s="49"/>
      <c r="D849" s="49"/>
      <c r="E849" s="49"/>
    </row>
    <row r="850" spans="1:5">
      <c r="A850" s="49"/>
      <c r="C850" s="49"/>
      <c r="D850" s="49"/>
      <c r="E850" s="49"/>
    </row>
    <row r="851" spans="1:5">
      <c r="A851" s="49"/>
      <c r="C851" s="49"/>
      <c r="D851" s="49"/>
      <c r="E851" s="49"/>
    </row>
    <row r="852" spans="1:5">
      <c r="A852" s="49"/>
      <c r="C852" s="49"/>
      <c r="D852" s="49"/>
      <c r="E852" s="49"/>
    </row>
    <row r="853" spans="1:5">
      <c r="A853" s="49"/>
      <c r="C853" s="49"/>
      <c r="D853" s="49"/>
      <c r="E853" s="49"/>
    </row>
    <row r="854" spans="1:5">
      <c r="A854" s="49"/>
      <c r="C854" s="49"/>
      <c r="D854" s="49"/>
      <c r="E854" s="49"/>
    </row>
    <row r="855" spans="1:5">
      <c r="A855" s="49"/>
      <c r="C855" s="49"/>
      <c r="D855" s="49"/>
      <c r="E855" s="49"/>
    </row>
    <row r="856" spans="1:5">
      <c r="A856" s="49"/>
      <c r="C856" s="49"/>
      <c r="D856" s="49"/>
      <c r="E856" s="49"/>
    </row>
    <row r="857" spans="1:5">
      <c r="A857" s="49"/>
      <c r="C857" s="49"/>
      <c r="D857" s="49"/>
      <c r="E857" s="49"/>
    </row>
    <row r="858" spans="1:5">
      <c r="A858" s="49"/>
      <c r="C858" s="49"/>
      <c r="D858" s="49"/>
      <c r="E858" s="49"/>
    </row>
    <row r="859" spans="1:5">
      <c r="A859" s="49"/>
      <c r="C859" s="49"/>
      <c r="D859" s="49"/>
      <c r="E859" s="49"/>
    </row>
    <row r="860" spans="1:5">
      <c r="A860" s="49"/>
      <c r="C860" s="49"/>
      <c r="D860" s="49"/>
      <c r="E860" s="49"/>
    </row>
    <row r="861" spans="1:5">
      <c r="A861" s="49"/>
      <c r="C861" s="49"/>
      <c r="D861" s="49"/>
      <c r="E861" s="49"/>
    </row>
    <row r="862" spans="1:5">
      <c r="A862" s="49"/>
      <c r="C862" s="49"/>
      <c r="D862" s="49"/>
      <c r="E862" s="49"/>
    </row>
    <row r="863" spans="1:5">
      <c r="A863" s="49"/>
      <c r="C863" s="49"/>
      <c r="D863" s="49"/>
      <c r="E863" s="49"/>
    </row>
    <row r="864" spans="1:5">
      <c r="A864" s="49"/>
      <c r="C864" s="49"/>
      <c r="D864" s="49"/>
      <c r="E864" s="49"/>
    </row>
    <row r="865" spans="1:5">
      <c r="A865" s="49"/>
      <c r="C865" s="49"/>
      <c r="D865" s="49"/>
      <c r="E865" s="49"/>
    </row>
    <row r="866" spans="1:5">
      <c r="A866" s="49"/>
      <c r="C866" s="49"/>
      <c r="D866" s="49"/>
      <c r="E866" s="49"/>
    </row>
    <row r="867" spans="1:5">
      <c r="A867" s="49"/>
      <c r="C867" s="49"/>
      <c r="D867" s="49"/>
      <c r="E867" s="49"/>
    </row>
    <row r="868" spans="1:5">
      <c r="A868" s="49"/>
      <c r="C868" s="49"/>
      <c r="D868" s="49"/>
      <c r="E868" s="49"/>
    </row>
    <row r="869" spans="1:5">
      <c r="A869" s="49"/>
      <c r="C869" s="49"/>
      <c r="D869" s="49"/>
      <c r="E869" s="49"/>
    </row>
    <row r="870" spans="1:5">
      <c r="A870" s="49"/>
      <c r="C870" s="49"/>
      <c r="D870" s="49"/>
      <c r="E870" s="49"/>
    </row>
    <row r="871" spans="1:5">
      <c r="A871" s="49"/>
      <c r="C871" s="49"/>
      <c r="D871" s="49"/>
      <c r="E871" s="49"/>
    </row>
    <row r="872" spans="1:5">
      <c r="A872" s="49"/>
      <c r="C872" s="49"/>
      <c r="D872" s="49"/>
      <c r="E872" s="49"/>
    </row>
    <row r="873" spans="1:5">
      <c r="A873" s="49"/>
      <c r="C873" s="49"/>
      <c r="D873" s="49"/>
      <c r="E873" s="49"/>
    </row>
    <row r="874" spans="1:5">
      <c r="A874" s="49"/>
      <c r="C874" s="49"/>
      <c r="D874" s="49"/>
      <c r="E874" s="49"/>
    </row>
    <row r="875" spans="1:5">
      <c r="A875" s="49"/>
      <c r="C875" s="49"/>
      <c r="D875" s="49"/>
      <c r="E875" s="49"/>
    </row>
    <row r="876" spans="1:5">
      <c r="A876" s="49"/>
      <c r="C876" s="49"/>
      <c r="D876" s="49"/>
      <c r="E876" s="49"/>
    </row>
    <row r="877" spans="1:5">
      <c r="A877" s="49"/>
      <c r="C877" s="49"/>
      <c r="D877" s="49"/>
      <c r="E877" s="49"/>
    </row>
    <row r="878" spans="1:5">
      <c r="A878" s="49"/>
      <c r="C878" s="49"/>
      <c r="D878" s="49"/>
      <c r="E878" s="49"/>
    </row>
    <row r="879" spans="1:5">
      <c r="A879" s="49"/>
      <c r="C879" s="49"/>
      <c r="D879" s="49"/>
      <c r="E879" s="49"/>
    </row>
    <row r="880" spans="1:5">
      <c r="A880" s="49"/>
      <c r="C880" s="49"/>
      <c r="D880" s="49"/>
      <c r="E880" s="49"/>
    </row>
    <row r="881" spans="1:5">
      <c r="A881" s="49"/>
      <c r="C881" s="49"/>
      <c r="D881" s="49"/>
      <c r="E881" s="49"/>
    </row>
    <row r="882" spans="1:5">
      <c r="A882" s="49"/>
      <c r="C882" s="49"/>
      <c r="D882" s="49"/>
      <c r="E882" s="49"/>
    </row>
    <row r="883" spans="1:5">
      <c r="A883" s="49"/>
      <c r="C883" s="49"/>
      <c r="D883" s="49"/>
      <c r="E883" s="49"/>
    </row>
    <row r="884" spans="1:5">
      <c r="A884" s="49"/>
      <c r="C884" s="49"/>
      <c r="D884" s="49"/>
      <c r="E884" s="49"/>
    </row>
    <row r="885" spans="1:5">
      <c r="A885" s="49"/>
      <c r="C885" s="49"/>
      <c r="D885" s="49"/>
      <c r="E885" s="49"/>
    </row>
    <row r="886" spans="1:5">
      <c r="A886" s="49"/>
      <c r="C886" s="49"/>
      <c r="D886" s="49"/>
      <c r="E886" s="49"/>
    </row>
    <row r="887" spans="1:5">
      <c r="A887" s="49"/>
      <c r="C887" s="49"/>
      <c r="D887" s="49"/>
      <c r="E887" s="49"/>
    </row>
    <row r="888" spans="1:5">
      <c r="A888" s="49"/>
      <c r="C888" s="49"/>
      <c r="D888" s="49"/>
      <c r="E888" s="49"/>
    </row>
    <row r="889" spans="1:5">
      <c r="A889" s="49"/>
      <c r="C889" s="49"/>
      <c r="D889" s="49"/>
      <c r="E889" s="49"/>
    </row>
    <row r="890" spans="1:5">
      <c r="A890" s="49"/>
      <c r="C890" s="49"/>
      <c r="D890" s="49"/>
      <c r="E890" s="49"/>
    </row>
    <row r="891" spans="1:5">
      <c r="A891" s="49"/>
      <c r="C891" s="49"/>
      <c r="D891" s="49"/>
      <c r="E891" s="49"/>
    </row>
    <row r="892" spans="1:5">
      <c r="A892" s="49"/>
      <c r="C892" s="49"/>
      <c r="D892" s="49"/>
      <c r="E892" s="49"/>
    </row>
    <row r="893" spans="1:5">
      <c r="A893" s="49"/>
      <c r="C893" s="49"/>
      <c r="D893" s="49"/>
      <c r="E893" s="49"/>
    </row>
    <row r="894" spans="1:5">
      <c r="A894" s="49"/>
      <c r="C894" s="49"/>
      <c r="D894" s="49"/>
      <c r="E894" s="49"/>
    </row>
    <row r="895" spans="1:5">
      <c r="A895" s="49"/>
      <c r="C895" s="49"/>
      <c r="D895" s="49"/>
      <c r="E895" s="49"/>
    </row>
    <row r="896" spans="1:5">
      <c r="A896" s="49"/>
      <c r="C896" s="49"/>
      <c r="D896" s="49"/>
      <c r="E896" s="49"/>
    </row>
    <row r="897" spans="1:5">
      <c r="A897" s="49"/>
      <c r="C897" s="49"/>
      <c r="D897" s="49"/>
      <c r="E897" s="49"/>
    </row>
    <row r="898" spans="1:5">
      <c r="A898" s="49"/>
      <c r="C898" s="49"/>
      <c r="D898" s="49"/>
      <c r="E898" s="49"/>
    </row>
    <row r="899" spans="1:5">
      <c r="A899" s="49"/>
      <c r="C899" s="49"/>
      <c r="D899" s="49"/>
      <c r="E899" s="49"/>
    </row>
    <row r="900" spans="1:5">
      <c r="A900" s="49"/>
      <c r="C900" s="49"/>
      <c r="D900" s="49"/>
      <c r="E900" s="49"/>
    </row>
    <row r="901" spans="1:5">
      <c r="A901" s="49"/>
      <c r="C901" s="49"/>
      <c r="D901" s="49"/>
      <c r="E901" s="49"/>
    </row>
    <row r="902" spans="1:5">
      <c r="A902" s="49"/>
      <c r="C902" s="49"/>
      <c r="D902" s="49"/>
      <c r="E902" s="49"/>
    </row>
    <row r="903" spans="1:5">
      <c r="A903" s="49"/>
      <c r="C903" s="49"/>
      <c r="D903" s="49"/>
      <c r="E903" s="49"/>
    </row>
    <row r="904" spans="1:5">
      <c r="A904" s="49"/>
      <c r="C904" s="49"/>
      <c r="D904" s="49"/>
      <c r="E904" s="49"/>
    </row>
    <row r="905" spans="1:5">
      <c r="A905" s="49"/>
      <c r="C905" s="49"/>
      <c r="D905" s="49"/>
      <c r="E905" s="49"/>
    </row>
    <row r="906" spans="1:5">
      <c r="A906" s="49"/>
      <c r="C906" s="49"/>
      <c r="D906" s="49"/>
      <c r="E906" s="49"/>
    </row>
    <row r="907" spans="1:5">
      <c r="A907" s="49"/>
      <c r="C907" s="49"/>
      <c r="D907" s="49"/>
      <c r="E907" s="49"/>
    </row>
    <row r="908" spans="1:5">
      <c r="A908" s="49"/>
      <c r="C908" s="49"/>
      <c r="D908" s="49"/>
      <c r="E908" s="49"/>
    </row>
    <row r="909" spans="1:5">
      <c r="A909" s="49"/>
      <c r="C909" s="49"/>
      <c r="D909" s="49"/>
      <c r="E909" s="49"/>
    </row>
    <row r="910" spans="1:5">
      <c r="A910" s="49"/>
      <c r="C910" s="49"/>
      <c r="D910" s="49"/>
      <c r="E910" s="49"/>
    </row>
    <row r="911" spans="1:5">
      <c r="A911" s="49"/>
      <c r="C911" s="49"/>
      <c r="D911" s="49"/>
      <c r="E911" s="49"/>
    </row>
    <row r="912" spans="1:5">
      <c r="A912" s="49"/>
      <c r="C912" s="49"/>
      <c r="D912" s="49"/>
      <c r="E912" s="49"/>
    </row>
    <row r="913" spans="1:5">
      <c r="A913" s="49"/>
      <c r="C913" s="49"/>
      <c r="D913" s="49"/>
      <c r="E913" s="49"/>
    </row>
    <row r="914" spans="1:5">
      <c r="A914" s="49"/>
      <c r="C914" s="49"/>
      <c r="D914" s="49"/>
      <c r="E914" s="49"/>
    </row>
    <row r="915" spans="1:5">
      <c r="A915" s="49"/>
      <c r="C915" s="49"/>
      <c r="D915" s="49"/>
      <c r="E915" s="49"/>
    </row>
    <row r="916" spans="1:5">
      <c r="A916" s="49"/>
      <c r="C916" s="49"/>
      <c r="D916" s="49"/>
      <c r="E916" s="49"/>
    </row>
    <row r="917" spans="1:5">
      <c r="A917" s="49"/>
      <c r="C917" s="49"/>
      <c r="D917" s="49"/>
      <c r="E917" s="49"/>
    </row>
    <row r="918" spans="1:5">
      <c r="A918" s="49"/>
      <c r="C918" s="49"/>
      <c r="D918" s="49"/>
      <c r="E918" s="49"/>
    </row>
    <row r="919" spans="1:5">
      <c r="A919" s="49"/>
      <c r="C919" s="49"/>
      <c r="D919" s="49"/>
      <c r="E919" s="49"/>
    </row>
    <row r="920" spans="1:5">
      <c r="A920" s="49"/>
      <c r="C920" s="49"/>
      <c r="D920" s="49"/>
      <c r="E920" s="49"/>
    </row>
    <row r="921" spans="1:5">
      <c r="A921" s="49"/>
      <c r="C921" s="49"/>
      <c r="D921" s="49"/>
      <c r="E921" s="49"/>
    </row>
    <row r="922" spans="1:5">
      <c r="A922" s="49"/>
      <c r="C922" s="49"/>
      <c r="D922" s="49"/>
      <c r="E922" s="49"/>
    </row>
    <row r="923" spans="1:5">
      <c r="A923" s="49"/>
      <c r="C923" s="49"/>
      <c r="D923" s="49"/>
      <c r="E923" s="49"/>
    </row>
    <row r="924" spans="1:5">
      <c r="A924" s="49"/>
      <c r="C924" s="49"/>
      <c r="D924" s="49"/>
      <c r="E924" s="49"/>
    </row>
    <row r="925" spans="1:5">
      <c r="A925" s="49"/>
      <c r="C925" s="49"/>
      <c r="D925" s="49"/>
      <c r="E925" s="49"/>
    </row>
    <row r="926" spans="1:5">
      <c r="A926" s="49"/>
      <c r="C926" s="49"/>
      <c r="D926" s="49"/>
      <c r="E926" s="49"/>
    </row>
    <row r="927" spans="1:5">
      <c r="A927" s="49"/>
      <c r="C927" s="49"/>
      <c r="D927" s="49"/>
      <c r="E927" s="49"/>
    </row>
    <row r="928" spans="1:5">
      <c r="A928" s="49"/>
      <c r="C928" s="49"/>
      <c r="D928" s="49"/>
      <c r="E928" s="49"/>
    </row>
    <row r="929" spans="1:5">
      <c r="A929" s="49"/>
      <c r="C929" s="49"/>
      <c r="D929" s="49"/>
      <c r="E929" s="49"/>
    </row>
    <row r="930" spans="1:5">
      <c r="A930" s="49"/>
      <c r="C930" s="49"/>
      <c r="D930" s="49"/>
      <c r="E930" s="49"/>
    </row>
    <row r="931" spans="1:5">
      <c r="A931" s="49"/>
      <c r="C931" s="49"/>
      <c r="D931" s="49"/>
      <c r="E931" s="49"/>
    </row>
    <row r="932" spans="1:5">
      <c r="A932" s="49"/>
      <c r="C932" s="49"/>
      <c r="D932" s="49"/>
      <c r="E932" s="49"/>
    </row>
    <row r="933" spans="1:5">
      <c r="A933" s="49"/>
      <c r="C933" s="49"/>
      <c r="D933" s="49"/>
      <c r="E933" s="49"/>
    </row>
    <row r="934" spans="1:5">
      <c r="A934" s="49"/>
      <c r="C934" s="49"/>
      <c r="D934" s="49"/>
      <c r="E934" s="49"/>
    </row>
    <row r="935" spans="1:5">
      <c r="A935" s="49"/>
      <c r="C935" s="49"/>
      <c r="D935" s="49"/>
      <c r="E935" s="49"/>
    </row>
    <row r="936" spans="1:5">
      <c r="A936" s="49"/>
      <c r="C936" s="49"/>
      <c r="D936" s="49"/>
      <c r="E936" s="49"/>
    </row>
    <row r="937" spans="1:5">
      <c r="A937" s="49"/>
      <c r="C937" s="49"/>
      <c r="D937" s="49"/>
      <c r="E937" s="49"/>
    </row>
    <row r="938" spans="1:5">
      <c r="A938" s="49"/>
      <c r="C938" s="49"/>
      <c r="D938" s="49"/>
      <c r="E938" s="49"/>
    </row>
    <row r="939" spans="1:5">
      <c r="A939" s="49"/>
      <c r="C939" s="49"/>
      <c r="D939" s="49"/>
      <c r="E939" s="49"/>
    </row>
    <row r="940" spans="1:5">
      <c r="A940" s="49"/>
      <c r="C940" s="49"/>
      <c r="D940" s="49"/>
      <c r="E940" s="49"/>
    </row>
    <row r="941" spans="1:5">
      <c r="A941" s="49"/>
      <c r="C941" s="49"/>
      <c r="D941" s="49"/>
      <c r="E941" s="49"/>
    </row>
    <row r="942" spans="1:5">
      <c r="A942" s="49"/>
      <c r="C942" s="49"/>
      <c r="D942" s="49"/>
      <c r="E942" s="49"/>
    </row>
    <row r="943" spans="1:5">
      <c r="A943" s="49"/>
      <c r="C943" s="49"/>
      <c r="D943" s="49"/>
      <c r="E943" s="49"/>
    </row>
    <row r="944" spans="1:5">
      <c r="A944" s="49"/>
      <c r="C944" s="49"/>
      <c r="D944" s="49"/>
      <c r="E944" s="49"/>
    </row>
    <row r="945" spans="1:5">
      <c r="A945" s="49"/>
      <c r="C945" s="49"/>
      <c r="D945" s="49"/>
      <c r="E945" s="49"/>
    </row>
    <row r="946" spans="1:5">
      <c r="A946" s="49"/>
      <c r="C946" s="49"/>
      <c r="D946" s="49"/>
      <c r="E946" s="49"/>
    </row>
    <row r="947" spans="1:5">
      <c r="A947" s="49"/>
      <c r="C947" s="49"/>
      <c r="D947" s="49"/>
      <c r="E947" s="49"/>
    </row>
    <row r="948" spans="1:5">
      <c r="A948" s="49"/>
      <c r="C948" s="49"/>
      <c r="D948" s="49"/>
      <c r="E948" s="49"/>
    </row>
    <row r="949" spans="1:5">
      <c r="A949" s="49"/>
      <c r="C949" s="49"/>
      <c r="D949" s="49"/>
      <c r="E949" s="49"/>
    </row>
    <row r="950" spans="1:5">
      <c r="A950" s="49"/>
      <c r="C950" s="49"/>
      <c r="D950" s="49"/>
      <c r="E950" s="49"/>
    </row>
    <row r="951" spans="1:5">
      <c r="A951" s="49"/>
      <c r="C951" s="49"/>
      <c r="D951" s="49"/>
      <c r="E951" s="49"/>
    </row>
    <row r="952" spans="1:5">
      <c r="A952" s="49"/>
      <c r="C952" s="49"/>
      <c r="D952" s="49"/>
      <c r="E952" s="49"/>
    </row>
    <row r="953" spans="1:5">
      <c r="A953" s="49"/>
      <c r="C953" s="49"/>
      <c r="D953" s="49"/>
      <c r="E953" s="49"/>
    </row>
    <row r="954" spans="1:5">
      <c r="A954" s="49"/>
      <c r="C954" s="49"/>
      <c r="D954" s="49"/>
      <c r="E954" s="49"/>
    </row>
    <row r="955" spans="1:5">
      <c r="A955" s="49"/>
      <c r="C955" s="49"/>
      <c r="D955" s="49"/>
      <c r="E955" s="49"/>
    </row>
    <row r="956" spans="1:5">
      <c r="A956" s="49"/>
      <c r="C956" s="49"/>
      <c r="D956" s="49"/>
      <c r="E956" s="49"/>
    </row>
    <row r="957" spans="1:5">
      <c r="A957" s="49"/>
      <c r="C957" s="49"/>
      <c r="D957" s="49"/>
      <c r="E957" s="49"/>
    </row>
    <row r="958" spans="1:5">
      <c r="A958" s="49"/>
      <c r="C958" s="49"/>
      <c r="D958" s="49"/>
      <c r="E958" s="49"/>
    </row>
    <row r="959" spans="1:5">
      <c r="A959" s="49"/>
      <c r="C959" s="49"/>
      <c r="D959" s="49"/>
      <c r="E959" s="49"/>
    </row>
    <row r="960" spans="1:5">
      <c r="A960" s="49"/>
      <c r="C960" s="49"/>
      <c r="D960" s="49"/>
      <c r="E960" s="49"/>
    </row>
    <row r="961" spans="1:5">
      <c r="A961" s="49"/>
      <c r="C961" s="49"/>
      <c r="D961" s="49"/>
      <c r="E961" s="49"/>
    </row>
    <row r="962" spans="1:5">
      <c r="A962" s="49"/>
      <c r="C962" s="49"/>
      <c r="D962" s="49"/>
      <c r="E962" s="49"/>
    </row>
    <row r="963" spans="1:5">
      <c r="A963" s="49"/>
      <c r="C963" s="49"/>
      <c r="D963" s="49"/>
      <c r="E963" s="49"/>
    </row>
    <row r="964" spans="1:5">
      <c r="A964" s="49"/>
      <c r="C964" s="49"/>
      <c r="D964" s="49"/>
      <c r="E964" s="49"/>
    </row>
    <row r="965" spans="1:5">
      <c r="A965" s="49"/>
      <c r="C965" s="49"/>
      <c r="D965" s="49"/>
      <c r="E965" s="49"/>
    </row>
    <row r="966" spans="1:5">
      <c r="A966" s="49"/>
      <c r="C966" s="49"/>
      <c r="D966" s="49"/>
      <c r="E966" s="49"/>
    </row>
    <row r="967" spans="1:5">
      <c r="A967" s="49"/>
      <c r="C967" s="49"/>
      <c r="D967" s="49"/>
      <c r="E967" s="49"/>
    </row>
    <row r="968" spans="1:5">
      <c r="A968" s="49"/>
      <c r="C968" s="49"/>
      <c r="D968" s="49"/>
      <c r="E968" s="49"/>
    </row>
    <row r="969" spans="1:5">
      <c r="A969" s="49"/>
      <c r="C969" s="49"/>
      <c r="D969" s="49"/>
      <c r="E969" s="49"/>
    </row>
    <row r="970" spans="1:5">
      <c r="A970" s="49"/>
      <c r="C970" s="49"/>
      <c r="D970" s="49"/>
      <c r="E970" s="49"/>
    </row>
    <row r="971" spans="1:5">
      <c r="A971" s="49"/>
      <c r="C971" s="49"/>
      <c r="D971" s="49"/>
      <c r="E971" s="49"/>
    </row>
    <row r="972" spans="1:5">
      <c r="A972" s="49"/>
      <c r="C972" s="49"/>
      <c r="D972" s="49"/>
      <c r="E972" s="49"/>
    </row>
    <row r="973" spans="1:5">
      <c r="A973" s="49"/>
      <c r="C973" s="49"/>
      <c r="D973" s="49"/>
      <c r="E973" s="49"/>
    </row>
    <row r="974" spans="1:5">
      <c r="A974" s="49"/>
      <c r="C974" s="49"/>
      <c r="D974" s="49"/>
      <c r="E974" s="49"/>
    </row>
    <row r="975" spans="1:5">
      <c r="A975" s="49"/>
      <c r="C975" s="49"/>
      <c r="D975" s="49"/>
      <c r="E975" s="49"/>
    </row>
    <row r="976" spans="1:5">
      <c r="A976" s="49"/>
      <c r="C976" s="49"/>
      <c r="D976" s="49"/>
      <c r="E976" s="49"/>
    </row>
    <row r="977" spans="1:5">
      <c r="A977" s="49"/>
      <c r="C977" s="49"/>
      <c r="D977" s="49"/>
      <c r="E977" s="49"/>
    </row>
    <row r="978" spans="1:5">
      <c r="A978" s="49"/>
      <c r="C978" s="49"/>
      <c r="D978" s="49"/>
      <c r="E978" s="49"/>
    </row>
    <row r="979" spans="1:5">
      <c r="A979" s="49"/>
      <c r="C979" s="49"/>
      <c r="D979" s="49"/>
      <c r="E979" s="49"/>
    </row>
    <row r="980" spans="1:5">
      <c r="A980" s="49"/>
      <c r="C980" s="49"/>
      <c r="D980" s="49"/>
      <c r="E980" s="49"/>
    </row>
    <row r="981" spans="1:5">
      <c r="A981" s="49"/>
      <c r="C981" s="49"/>
      <c r="D981" s="49"/>
      <c r="E981" s="49"/>
    </row>
    <row r="982" spans="1:5">
      <c r="A982" s="49"/>
      <c r="C982" s="49"/>
      <c r="D982" s="49"/>
      <c r="E982" s="49"/>
    </row>
    <row r="983" spans="1:5">
      <c r="A983" s="49"/>
      <c r="C983" s="49"/>
      <c r="D983" s="49"/>
      <c r="E983" s="49"/>
    </row>
    <row r="984" spans="1:5">
      <c r="A984" s="49"/>
      <c r="C984" s="49"/>
      <c r="D984" s="49"/>
      <c r="E984" s="49"/>
    </row>
    <row r="985" spans="1:5">
      <c r="A985" s="49"/>
      <c r="C985" s="49"/>
      <c r="D985" s="49"/>
      <c r="E985" s="49"/>
    </row>
    <row r="986" spans="1:5">
      <c r="A986" s="49"/>
      <c r="C986" s="49"/>
      <c r="D986" s="49"/>
      <c r="E986" s="49"/>
    </row>
    <row r="987" spans="1:5">
      <c r="A987" s="49"/>
      <c r="C987" s="49"/>
      <c r="D987" s="49"/>
      <c r="E987" s="49"/>
    </row>
    <row r="988" spans="1:5">
      <c r="A988" s="49"/>
      <c r="C988" s="49"/>
      <c r="D988" s="49"/>
      <c r="E988" s="49"/>
    </row>
    <row r="989" spans="1:5">
      <c r="A989" s="49"/>
      <c r="C989" s="49"/>
      <c r="D989" s="49"/>
      <c r="E989" s="49"/>
    </row>
    <row r="990" spans="1:5">
      <c r="A990" s="49"/>
      <c r="C990" s="49"/>
      <c r="D990" s="49"/>
      <c r="E990" s="49"/>
    </row>
    <row r="991" spans="1:5">
      <c r="A991" s="49"/>
      <c r="C991" s="49"/>
      <c r="D991" s="49"/>
      <c r="E991" s="49"/>
    </row>
    <row r="992" spans="1:5">
      <c r="A992" s="49"/>
      <c r="C992" s="49"/>
      <c r="D992" s="49"/>
      <c r="E992" s="49"/>
    </row>
    <row r="993" spans="1:5">
      <c r="A993" s="49"/>
      <c r="C993" s="49"/>
      <c r="D993" s="49"/>
      <c r="E993" s="49"/>
    </row>
    <row r="994" spans="1:5">
      <c r="A994" s="49"/>
      <c r="C994" s="49"/>
      <c r="D994" s="49"/>
      <c r="E994" s="49"/>
    </row>
    <row r="995" spans="1:5">
      <c r="A995" s="49"/>
      <c r="C995" s="49"/>
      <c r="D995" s="49"/>
      <c r="E995" s="49"/>
    </row>
    <row r="996" spans="1:5">
      <c r="A996" s="49"/>
      <c r="C996" s="49"/>
      <c r="D996" s="49"/>
      <c r="E996" s="49"/>
    </row>
    <row r="997" spans="1:5">
      <c r="A997" s="49"/>
      <c r="C997" s="49"/>
      <c r="D997" s="49"/>
      <c r="E997" s="49"/>
    </row>
    <row r="998" spans="1:5">
      <c r="A998" s="49"/>
      <c r="C998" s="49"/>
      <c r="D998" s="49"/>
      <c r="E998" s="49"/>
    </row>
    <row r="999" spans="1:5">
      <c r="A999" s="49"/>
      <c r="C999" s="49"/>
      <c r="D999" s="49"/>
      <c r="E999" s="49"/>
    </row>
    <row r="1000" spans="1:5">
      <c r="A1000" s="49"/>
      <c r="C1000" s="49"/>
      <c r="D1000" s="49"/>
      <c r="E1000" s="49"/>
    </row>
    <row r="1001" spans="1:5">
      <c r="A1001" s="49"/>
      <c r="C1001" s="49"/>
      <c r="D1001" s="49"/>
      <c r="E1001" s="49"/>
    </row>
    <row r="1002" spans="1:5">
      <c r="A1002" s="49"/>
      <c r="C1002" s="49"/>
      <c r="D1002" s="49"/>
      <c r="E1002" s="49"/>
    </row>
    <row r="1003" spans="1:5">
      <c r="A1003" s="49"/>
      <c r="C1003" s="49"/>
      <c r="D1003" s="49"/>
      <c r="E1003" s="49"/>
    </row>
    <row r="1004" spans="1:5">
      <c r="A1004" s="49"/>
      <c r="C1004" s="49"/>
      <c r="D1004" s="49"/>
      <c r="E1004" s="49"/>
    </row>
    <row r="1005" spans="1:5">
      <c r="A1005" s="49"/>
      <c r="C1005" s="49"/>
      <c r="D1005" s="49"/>
      <c r="E1005" s="49"/>
    </row>
    <row r="1006" spans="1:5">
      <c r="A1006" s="49"/>
      <c r="C1006" s="49"/>
      <c r="D1006" s="49"/>
      <c r="E1006" s="49"/>
    </row>
    <row r="1007" spans="1:5">
      <c r="A1007" s="49"/>
      <c r="C1007" s="49"/>
      <c r="D1007" s="49"/>
      <c r="E1007" s="49"/>
    </row>
    <row r="1008" spans="1:5">
      <c r="A1008" s="49"/>
      <c r="C1008" s="49"/>
      <c r="D1008" s="49"/>
      <c r="E1008" s="49"/>
    </row>
    <row r="1009" spans="1:5">
      <c r="A1009" s="49"/>
      <c r="C1009" s="49"/>
      <c r="D1009" s="49"/>
      <c r="E1009" s="49"/>
    </row>
  </sheetData>
  <conditionalFormatting sqref="A1:A1009">
    <cfRule type="containsText" dxfId="7" priority="1" operator="containsText" text="Não">
      <formula>NOT(ISERROR(SEARCH(("Não"),(A1))))</formula>
    </cfRule>
  </conditionalFormatting>
  <conditionalFormatting sqref="A1:A1009">
    <cfRule type="containsText" dxfId="6" priority="2" operator="containsText" text="Sim">
      <formula>NOT(ISERROR(SEARCH(("Sim"),(A1))))</formula>
    </cfRule>
  </conditionalFormatting>
  <conditionalFormatting sqref="D1:D1009">
    <cfRule type="containsText" dxfId="5" priority="3" operator="containsText" text="hard">
      <formula>NOT(ISERROR(SEARCH(("hard"),(D1))))</formula>
    </cfRule>
  </conditionalFormatting>
  <conditionalFormatting sqref="D1:D1009">
    <cfRule type="containsText" dxfId="4" priority="4" operator="containsText" text="soft">
      <formula>NOT(ISERROR(SEARCH(("soft"),(D1))))</formula>
    </cfRule>
  </conditionalFormatting>
  <conditionalFormatting sqref="D2:D1009">
    <cfRule type="containsText" dxfId="3" priority="5" operator="containsText" text="?">
      <formula>NOT(ISERROR(SEARCH(("?"),(D2))))</formula>
    </cfRule>
  </conditionalFormatting>
  <conditionalFormatting sqref="A2:A1009">
    <cfRule type="containsText" dxfId="2" priority="6" operator="containsText" text="Verificado">
      <formula>NOT(ISERROR(SEARCH(("Verificado"),(A2))))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C5" sqref="C5"/>
    </sheetView>
  </sheetViews>
  <sheetFormatPr defaultColWidth="12.5703125" defaultRowHeight="15.75" customHeight="1"/>
  <cols>
    <col min="1" max="1" width="9.5703125" customWidth="1"/>
    <col min="2" max="2" width="10.7109375" customWidth="1"/>
    <col min="3" max="3" width="57.42578125" customWidth="1"/>
    <col min="4" max="4" width="16.5703125" customWidth="1"/>
    <col min="5" max="5" width="19.7109375" customWidth="1"/>
    <col min="9" max="9" width="15" customWidth="1"/>
    <col min="10" max="10" width="8.5703125" customWidth="1"/>
    <col min="11" max="11" width="40.42578125" customWidth="1"/>
    <col min="12" max="12" width="15.28515625" customWidth="1"/>
    <col min="13" max="13" width="16.42578125" customWidth="1"/>
  </cols>
  <sheetData>
    <row r="1" spans="1:28">
      <c r="A1" s="93" t="s">
        <v>553</v>
      </c>
      <c r="B1" s="93" t="s">
        <v>554</v>
      </c>
      <c r="C1" s="94" t="s">
        <v>555</v>
      </c>
      <c r="D1" s="93" t="s">
        <v>556</v>
      </c>
      <c r="E1" s="93" t="s">
        <v>557</v>
      </c>
      <c r="F1" s="95" t="s">
        <v>558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spans="1:28">
      <c r="A2" s="96">
        <v>1</v>
      </c>
      <c r="B2" s="96" t="s">
        <v>19</v>
      </c>
      <c r="C2" s="97" t="s">
        <v>30</v>
      </c>
      <c r="D2" s="96" t="s">
        <v>29</v>
      </c>
      <c r="E2" s="98" t="s">
        <v>559</v>
      </c>
      <c r="F2" s="99" t="str">
        <f t="shared" ref="F2:F71" si="0">VLOOKUP(C2,$K$5:$N$75,4,FALSE)</f>
        <v>Sem plano</v>
      </c>
    </row>
    <row r="3" spans="1:28">
      <c r="A3" s="96">
        <v>1</v>
      </c>
      <c r="B3" s="96" t="s">
        <v>19</v>
      </c>
      <c r="C3" s="97" t="s">
        <v>560</v>
      </c>
      <c r="D3" s="96" t="s">
        <v>42</v>
      </c>
      <c r="E3" s="98" t="s">
        <v>561</v>
      </c>
      <c r="F3" s="99" t="e">
        <f t="shared" si="0"/>
        <v>#N/A</v>
      </c>
    </row>
    <row r="4" spans="1:28">
      <c r="A4" s="96">
        <v>1</v>
      </c>
      <c r="B4" s="96" t="s">
        <v>19</v>
      </c>
      <c r="C4" s="97" t="s">
        <v>38</v>
      </c>
      <c r="D4" s="96" t="s">
        <v>37</v>
      </c>
      <c r="E4" s="98" t="s">
        <v>559</v>
      </c>
      <c r="F4" s="99" t="str">
        <f t="shared" si="0"/>
        <v>Aprovado</v>
      </c>
      <c r="I4" s="100" t="s">
        <v>562</v>
      </c>
      <c r="J4" s="100" t="s">
        <v>5</v>
      </c>
      <c r="K4" s="100" t="s">
        <v>6</v>
      </c>
      <c r="L4" s="100" t="s">
        <v>563</v>
      </c>
      <c r="M4" s="100" t="s">
        <v>564</v>
      </c>
      <c r="N4" s="100" t="s">
        <v>565</v>
      </c>
    </row>
    <row r="5" spans="1:28">
      <c r="A5" s="96">
        <v>1</v>
      </c>
      <c r="B5" s="96" t="s">
        <v>19</v>
      </c>
      <c r="C5" s="97" t="s">
        <v>48</v>
      </c>
      <c r="D5" s="96" t="s">
        <v>47</v>
      </c>
      <c r="E5" s="98" t="s">
        <v>566</v>
      </c>
      <c r="F5" s="99" t="e">
        <f t="shared" si="0"/>
        <v>#N/A</v>
      </c>
      <c r="I5" s="101" t="s">
        <v>567</v>
      </c>
      <c r="J5" s="102" t="str">
        <f ca="1">IFERROR(__xludf.DUMMYFUNCTION("REGEXEXTRACT(I5,""\((.*?)\)"")
"),"INF01090")</f>
        <v>INF01090</v>
      </c>
      <c r="K5" s="102" t="str">
        <f t="shared" ref="K5:K75" si="1">MID(I5, 12, 999)</f>
        <v>CIÊNCIA DE DADOS N</v>
      </c>
      <c r="L5" s="102" t="s">
        <v>568</v>
      </c>
      <c r="M5" s="102" t="s">
        <v>569</v>
      </c>
      <c r="N5" s="103" t="s">
        <v>570</v>
      </c>
    </row>
    <row r="6" spans="1:28">
      <c r="A6" s="96">
        <v>1</v>
      </c>
      <c r="B6" s="96" t="s">
        <v>19</v>
      </c>
      <c r="C6" s="97" t="s">
        <v>22</v>
      </c>
      <c r="D6" s="96" t="s">
        <v>21</v>
      </c>
      <c r="E6" s="98" t="s">
        <v>566</v>
      </c>
      <c r="F6" s="99" t="e">
        <f t="shared" si="0"/>
        <v>#N/A</v>
      </c>
      <c r="I6" s="101" t="s">
        <v>571</v>
      </c>
      <c r="J6" s="102" t="str">
        <f ca="1">IFERROR(__xludf.DUMMYFUNCTION("REGEXEXTRACT(I6,""\((.*?)\)"")
"),"INF01091")</f>
        <v>INF01091</v>
      </c>
      <c r="K6" s="102" t="str">
        <f t="shared" si="1"/>
        <v>COMPUTAÇÃO DE ALTO DESEMPENHO</v>
      </c>
      <c r="L6" s="102" t="s">
        <v>568</v>
      </c>
      <c r="M6" s="102" t="s">
        <v>572</v>
      </c>
      <c r="N6" s="103" t="s">
        <v>570</v>
      </c>
    </row>
    <row r="7" spans="1:28">
      <c r="A7" s="96">
        <v>2</v>
      </c>
      <c r="B7" s="96" t="s">
        <v>19</v>
      </c>
      <c r="C7" s="97" t="s">
        <v>64</v>
      </c>
      <c r="D7" s="96" t="s">
        <v>63</v>
      </c>
      <c r="E7" s="98" t="s">
        <v>559</v>
      </c>
      <c r="F7" s="99" t="e">
        <f t="shared" si="0"/>
        <v>#N/A</v>
      </c>
      <c r="I7" s="101" t="s">
        <v>573</v>
      </c>
      <c r="J7" s="102" t="str">
        <f ca="1">IFERROR(__xludf.DUMMYFUNCTION("REGEXEXTRACT(I7,""\((.*?)\)"")
"),"INF01009")</f>
        <v>INF01009</v>
      </c>
      <c r="K7" s="102" t="str">
        <f t="shared" si="1"/>
        <v>COMPUTAÇÃO GRÁFICA II</v>
      </c>
      <c r="L7" s="102" t="s">
        <v>568</v>
      </c>
      <c r="M7" s="102" t="s">
        <v>574</v>
      </c>
      <c r="N7" s="103" t="s">
        <v>570</v>
      </c>
    </row>
    <row r="8" spans="1:28">
      <c r="A8" s="96">
        <v>2</v>
      </c>
      <c r="B8" s="96" t="s">
        <v>19</v>
      </c>
      <c r="C8" s="97" t="s">
        <v>575</v>
      </c>
      <c r="D8" s="96" t="s">
        <v>83</v>
      </c>
      <c r="E8" s="98" t="s">
        <v>561</v>
      </c>
      <c r="F8" s="99" t="e">
        <f t="shared" si="0"/>
        <v>#N/A</v>
      </c>
      <c r="I8" s="101" t="s">
        <v>576</v>
      </c>
      <c r="J8" s="102" t="str">
        <f ca="1">IFERROR(__xludf.DUMMYFUNCTION("REGEXEXTRACT(I8,""\((.*?)\)"")
"),"INF01099")</f>
        <v>INF01099</v>
      </c>
      <c r="K8" s="102" t="str">
        <f t="shared" si="1"/>
        <v>DESENVOLVIMENTO DE APLICAÇÕES WEB</v>
      </c>
      <c r="L8" s="102" t="s">
        <v>568</v>
      </c>
      <c r="M8" s="102" t="s">
        <v>577</v>
      </c>
      <c r="N8" s="103" t="s">
        <v>570</v>
      </c>
    </row>
    <row r="9" spans="1:28">
      <c r="A9" s="96">
        <v>2</v>
      </c>
      <c r="B9" s="96" t="s">
        <v>19</v>
      </c>
      <c r="C9" s="97" t="s">
        <v>72</v>
      </c>
      <c r="D9" s="96" t="s">
        <v>71</v>
      </c>
      <c r="E9" s="98" t="s">
        <v>559</v>
      </c>
      <c r="F9" s="99" t="e">
        <f t="shared" si="0"/>
        <v>#N/A</v>
      </c>
      <c r="I9" s="101" t="s">
        <v>578</v>
      </c>
      <c r="J9" s="102" t="str">
        <f ca="1">IFERROR(__xludf.DUMMYFUNCTION("REGEXEXTRACT(I9,""\((.*?)\)"")
"),"INF01016")</f>
        <v>INF01016</v>
      </c>
      <c r="K9" s="102" t="str">
        <f t="shared" si="1"/>
        <v>GERÊNCIA E ADMINISTRAÇÃO DE PROJETOS</v>
      </c>
      <c r="L9" s="102" t="s">
        <v>568</v>
      </c>
      <c r="M9" s="102" t="s">
        <v>579</v>
      </c>
      <c r="N9" s="103" t="s">
        <v>570</v>
      </c>
    </row>
    <row r="10" spans="1:28">
      <c r="A10" s="96">
        <v>2</v>
      </c>
      <c r="B10" s="96" t="s">
        <v>19</v>
      </c>
      <c r="C10" s="97" t="s">
        <v>580</v>
      </c>
      <c r="D10" s="96" t="s">
        <v>50</v>
      </c>
      <c r="E10" s="98" t="s">
        <v>561</v>
      </c>
      <c r="F10" s="99" t="e">
        <f t="shared" si="0"/>
        <v>#N/A</v>
      </c>
      <c r="I10" s="101" t="s">
        <v>581</v>
      </c>
      <c r="J10" s="102" t="str">
        <f ca="1">IFERROR(__xludf.DUMMYFUNCTION("REGEXEXTRACT(I10,""\((.*?)\)"")
"),"INF01087")</f>
        <v>INF01087</v>
      </c>
      <c r="K10" s="102" t="str">
        <f t="shared" si="1"/>
        <v>INTRODUÇÃO À CIÊNCIA DA COMPUTAÇÃO</v>
      </c>
      <c r="L10" s="102" t="s">
        <v>568</v>
      </c>
      <c r="M10" s="102" t="s">
        <v>582</v>
      </c>
      <c r="N10" s="103" t="s">
        <v>570</v>
      </c>
    </row>
    <row r="11" spans="1:28">
      <c r="A11" s="96">
        <v>2</v>
      </c>
      <c r="B11" s="96" t="s">
        <v>19</v>
      </c>
      <c r="C11" s="97" t="s">
        <v>583</v>
      </c>
      <c r="D11" s="96" t="s">
        <v>77</v>
      </c>
      <c r="E11" s="98" t="s">
        <v>561</v>
      </c>
      <c r="F11" s="99" t="e">
        <f t="shared" si="0"/>
        <v>#N/A</v>
      </c>
      <c r="I11" s="101" t="s">
        <v>584</v>
      </c>
      <c r="J11" s="102" t="str">
        <f ca="1">IFERROR(__xludf.DUMMYFUNCTION("REGEXEXTRACT(I11,""\((.*?)\)"")
"),"INF01095")</f>
        <v>INF01095</v>
      </c>
      <c r="K11" s="102" t="str">
        <f t="shared" si="1"/>
        <v>NOVAS ABORDAGENS DE BANCO DE DADOS</v>
      </c>
      <c r="L11" s="102" t="s">
        <v>568</v>
      </c>
      <c r="M11" s="102" t="s">
        <v>585</v>
      </c>
      <c r="N11" s="103" t="s">
        <v>570</v>
      </c>
    </row>
    <row r="12" spans="1:28">
      <c r="A12" s="96">
        <v>2</v>
      </c>
      <c r="B12" s="96" t="s">
        <v>19</v>
      </c>
      <c r="C12" s="97" t="s">
        <v>55</v>
      </c>
      <c r="D12" s="96" t="s">
        <v>54</v>
      </c>
      <c r="E12" s="98" t="s">
        <v>559</v>
      </c>
      <c r="F12" s="99" t="e">
        <f t="shared" si="0"/>
        <v>#N/A</v>
      </c>
      <c r="I12" s="101" t="s">
        <v>586</v>
      </c>
      <c r="J12" s="102" t="str">
        <f ca="1">IFERROR(__xludf.DUMMYFUNCTION("REGEXEXTRACT(I12,""\((.*?)\)"")
"),"INF01089")</f>
        <v>INF01089</v>
      </c>
      <c r="K12" s="102" t="str">
        <f t="shared" si="1"/>
        <v>PROCESSAMENTO DE IMAGENS II</v>
      </c>
      <c r="L12" s="102" t="s">
        <v>568</v>
      </c>
      <c r="M12" s="102" t="s">
        <v>587</v>
      </c>
      <c r="N12" s="103" t="s">
        <v>570</v>
      </c>
    </row>
    <row r="13" spans="1:28">
      <c r="A13" s="96">
        <v>3</v>
      </c>
      <c r="B13" s="96" t="s">
        <v>19</v>
      </c>
      <c r="C13" s="97" t="s">
        <v>117</v>
      </c>
      <c r="D13" s="96" t="s">
        <v>116</v>
      </c>
      <c r="E13" s="98" t="s">
        <v>559</v>
      </c>
      <c r="F13" s="99" t="str">
        <f t="shared" si="0"/>
        <v>Sem plano</v>
      </c>
      <c r="I13" s="101" t="s">
        <v>588</v>
      </c>
      <c r="J13" s="102" t="str">
        <f ca="1">IFERROR(__xludf.DUMMYFUNCTION("REGEXEXTRACT(I13,""\((.*?)\)"")
"),"INF01100")</f>
        <v>INF01100</v>
      </c>
      <c r="K13" s="102" t="str">
        <f t="shared" si="1"/>
        <v>PROCESSAMENTO DE LINGUAGEM NATURAL</v>
      </c>
      <c r="L13" s="102" t="s">
        <v>568</v>
      </c>
      <c r="M13" s="102" t="s">
        <v>589</v>
      </c>
      <c r="N13" s="103" t="s">
        <v>570</v>
      </c>
    </row>
    <row r="14" spans="1:28">
      <c r="A14" s="96">
        <v>3</v>
      </c>
      <c r="B14" s="96" t="s">
        <v>19</v>
      </c>
      <c r="C14" s="97" t="s">
        <v>95</v>
      </c>
      <c r="D14" s="96" t="s">
        <v>94</v>
      </c>
      <c r="E14" s="98" t="s">
        <v>559</v>
      </c>
      <c r="F14" s="99" t="str">
        <f t="shared" si="0"/>
        <v>Sem plano</v>
      </c>
      <c r="I14" s="101" t="s">
        <v>590</v>
      </c>
      <c r="J14" s="102" t="str">
        <f ca="1">IFERROR(__xludf.DUMMYFUNCTION("REGEXEXTRACT(I14,""\((.*?)\)"")
"),"INF01006")</f>
        <v>INF01006</v>
      </c>
      <c r="K14" s="102" t="str">
        <f t="shared" si="1"/>
        <v>PROJETO DE BANCO DE DADOS</v>
      </c>
      <c r="L14" s="102" t="s">
        <v>568</v>
      </c>
      <c r="M14" s="102" t="s">
        <v>585</v>
      </c>
      <c r="N14" s="103" t="s">
        <v>570</v>
      </c>
    </row>
    <row r="15" spans="1:28">
      <c r="A15" s="96">
        <v>3</v>
      </c>
      <c r="B15" s="96" t="s">
        <v>19</v>
      </c>
      <c r="C15" s="97" t="s">
        <v>102</v>
      </c>
      <c r="D15" s="96" t="s">
        <v>101</v>
      </c>
      <c r="E15" s="98" t="s">
        <v>566</v>
      </c>
      <c r="F15" s="99" t="e">
        <f t="shared" si="0"/>
        <v>#N/A</v>
      </c>
      <c r="I15" s="101" t="s">
        <v>591</v>
      </c>
      <c r="J15" s="102" t="str">
        <f ca="1">IFERROR(__xludf.DUMMYFUNCTION("REGEXEXTRACT(I15,""\((.*?)\)"")
"),"INF01096")</f>
        <v>INF01096</v>
      </c>
      <c r="K15" s="102" t="str">
        <f t="shared" si="1"/>
        <v>RECUPERAÇÃO DE INFORMAÇÃO</v>
      </c>
      <c r="L15" s="102" t="s">
        <v>568</v>
      </c>
      <c r="M15" s="102" t="s">
        <v>589</v>
      </c>
      <c r="N15" s="103" t="s">
        <v>570</v>
      </c>
    </row>
    <row r="16" spans="1:28">
      <c r="A16" s="96">
        <v>3</v>
      </c>
      <c r="B16" s="96" t="s">
        <v>19</v>
      </c>
      <c r="C16" s="97" t="s">
        <v>110</v>
      </c>
      <c r="D16" s="96" t="s">
        <v>109</v>
      </c>
      <c r="E16" s="98" t="s">
        <v>559</v>
      </c>
      <c r="F16" s="99" t="str">
        <f t="shared" si="0"/>
        <v>Sem plano</v>
      </c>
      <c r="I16" s="101" t="s">
        <v>592</v>
      </c>
      <c r="J16" s="102" t="str">
        <f ca="1">IFERROR(__xludf.DUMMYFUNCTION("REGEXEXTRACT(I16,""\((.*?)\)"")
"),"INF01097")</f>
        <v>INF01097</v>
      </c>
      <c r="K16" s="102" t="str">
        <f t="shared" si="1"/>
        <v>SEGURANÇA DE REDES DE COMPUTADORES E SISTEMAS DISTRIBUÍDOS</v>
      </c>
      <c r="L16" s="102" t="s">
        <v>568</v>
      </c>
      <c r="M16" s="102" t="s">
        <v>593</v>
      </c>
      <c r="N16" s="103" t="s">
        <v>570</v>
      </c>
    </row>
    <row r="17" spans="1:14">
      <c r="A17" s="96">
        <v>3</v>
      </c>
      <c r="B17" s="96" t="s">
        <v>19</v>
      </c>
      <c r="C17" s="97" t="s">
        <v>594</v>
      </c>
      <c r="D17" s="96" t="s">
        <v>88</v>
      </c>
      <c r="E17" s="98" t="s">
        <v>566</v>
      </c>
      <c r="F17" s="99" t="e">
        <f t="shared" si="0"/>
        <v>#N/A</v>
      </c>
      <c r="I17" s="101" t="s">
        <v>595</v>
      </c>
      <c r="J17" s="102" t="str">
        <f ca="1">IFERROR(__xludf.DUMMYFUNCTION("REGEXEXTRACT(I17,""\((.*?)\)"")
"),"INF01074")</f>
        <v>INF01074</v>
      </c>
      <c r="K17" s="102" t="str">
        <f t="shared" si="1"/>
        <v>TECNOLOGIAS COMPUTACIONAIS - EAD</v>
      </c>
      <c r="L17" s="102" t="s">
        <v>568</v>
      </c>
      <c r="M17" s="102" t="s">
        <v>596</v>
      </c>
      <c r="N17" s="103" t="s">
        <v>570</v>
      </c>
    </row>
    <row r="18" spans="1:14">
      <c r="A18" s="96">
        <v>4</v>
      </c>
      <c r="B18" s="96" t="s">
        <v>19</v>
      </c>
      <c r="C18" s="97" t="s">
        <v>597</v>
      </c>
      <c r="D18" s="96" t="s">
        <v>144</v>
      </c>
      <c r="E18" s="98" t="s">
        <v>561</v>
      </c>
      <c r="F18" s="99" t="e">
        <f t="shared" si="0"/>
        <v>#N/A</v>
      </c>
      <c r="I18" s="101" t="s">
        <v>598</v>
      </c>
      <c r="J18" s="102" t="str">
        <f ca="1">IFERROR(__xludf.DUMMYFUNCTION("REGEXEXTRACT(I18,""\((.*?)\)"")
"),"INF01217")</f>
        <v>INF01217</v>
      </c>
      <c r="K18" s="102" t="str">
        <f t="shared" si="1"/>
        <v>TENDÊNCIAS EM ENGENHARIA DE SOFTWARE</v>
      </c>
      <c r="L18" s="102" t="s">
        <v>568</v>
      </c>
      <c r="M18" s="102" t="s">
        <v>599</v>
      </c>
      <c r="N18" s="103" t="s">
        <v>570</v>
      </c>
    </row>
    <row r="19" spans="1:14">
      <c r="A19" s="96">
        <v>4</v>
      </c>
      <c r="B19" s="96" t="s">
        <v>19</v>
      </c>
      <c r="C19" s="97" t="s">
        <v>150</v>
      </c>
      <c r="D19" s="96" t="s">
        <v>149</v>
      </c>
      <c r="E19" s="98" t="s">
        <v>559</v>
      </c>
      <c r="F19" s="99" t="e">
        <f t="shared" si="0"/>
        <v>#N/A</v>
      </c>
      <c r="I19" s="101" t="s">
        <v>600</v>
      </c>
      <c r="J19" s="102" t="str">
        <f ca="1">IFERROR(__xludf.DUMMYFUNCTION("REGEXEXTRACT(I19,""\((.*?)\)"")
"),"INF01060")</f>
        <v>INF01060</v>
      </c>
      <c r="K19" s="102" t="str">
        <f t="shared" si="1"/>
        <v>TÓPICOS ESPECIAIS EM COMPUTAÇÃO XVIII</v>
      </c>
      <c r="L19" s="102" t="s">
        <v>568</v>
      </c>
      <c r="M19" s="102" t="s">
        <v>601</v>
      </c>
      <c r="N19" s="103" t="s">
        <v>570</v>
      </c>
    </row>
    <row r="20" spans="1:14">
      <c r="A20" s="96">
        <v>4</v>
      </c>
      <c r="B20" s="96" t="s">
        <v>19</v>
      </c>
      <c r="C20" s="97" t="s">
        <v>157</v>
      </c>
      <c r="D20" s="96" t="s">
        <v>156</v>
      </c>
      <c r="E20" s="98" t="s">
        <v>559</v>
      </c>
      <c r="F20" s="99" t="e">
        <f t="shared" si="0"/>
        <v>#N/A</v>
      </c>
      <c r="I20" s="101" t="s">
        <v>602</v>
      </c>
      <c r="J20" s="102" t="str">
        <f ca="1">IFERROR(__xludf.DUMMYFUNCTION("REGEXEXTRACT(I20,""\((.*?)\)"")
"),"INF01219")</f>
        <v>INF01219</v>
      </c>
      <c r="K20" s="102" t="str">
        <f t="shared" si="1"/>
        <v>TÓPICOS ESPECIAIS EM COMPUTAÇÃO XXXIV</v>
      </c>
      <c r="L20" s="102" t="s">
        <v>568</v>
      </c>
      <c r="M20" s="102" t="s">
        <v>572</v>
      </c>
      <c r="N20" s="103" t="s">
        <v>570</v>
      </c>
    </row>
    <row r="21" spans="1:14">
      <c r="A21" s="96">
        <v>4</v>
      </c>
      <c r="B21" s="96" t="s">
        <v>19</v>
      </c>
      <c r="C21" s="97" t="s">
        <v>138</v>
      </c>
      <c r="D21" s="96" t="s">
        <v>137</v>
      </c>
      <c r="E21" s="98" t="s">
        <v>559</v>
      </c>
      <c r="F21" s="99" t="e">
        <f t="shared" si="0"/>
        <v>#N/A</v>
      </c>
      <c r="I21" s="104" t="s">
        <v>603</v>
      </c>
      <c r="J21" s="102" t="str">
        <f ca="1">IFERROR(__xludf.DUMMYFUNCTION("REGEXEXTRACT(I21,""\((.*?)\)"")
"),"INF01211")</f>
        <v>INF01211</v>
      </c>
      <c r="K21" s="102" t="str">
        <f t="shared" si="1"/>
        <v>ALGORITMOS E PROGRAMAÇÃO</v>
      </c>
      <c r="L21" s="104" t="s">
        <v>568</v>
      </c>
      <c r="M21" s="104" t="s">
        <v>25</v>
      </c>
      <c r="N21" s="105" t="s">
        <v>604</v>
      </c>
    </row>
    <row r="22" spans="1:14">
      <c r="A22" s="96">
        <v>4</v>
      </c>
      <c r="B22" s="96" t="s">
        <v>19</v>
      </c>
      <c r="C22" s="97" t="s">
        <v>132</v>
      </c>
      <c r="D22" s="96" t="s">
        <v>131</v>
      </c>
      <c r="E22" s="98" t="s">
        <v>566</v>
      </c>
      <c r="F22" s="99" t="e">
        <f t="shared" si="0"/>
        <v>#N/A</v>
      </c>
      <c r="I22" s="104" t="s">
        <v>605</v>
      </c>
      <c r="J22" s="102" t="str">
        <f ca="1">IFERROR(__xludf.DUMMYFUNCTION("REGEXEXTRACT(I22,""\((.*?)\)"")
"),"INF01023")</f>
        <v>INF01023</v>
      </c>
      <c r="K22" s="102" t="str">
        <f t="shared" si="1"/>
        <v>ARQUITETURA E DESEMPENHO DE BANCO DE DADOS</v>
      </c>
      <c r="L22" s="104" t="s">
        <v>568</v>
      </c>
      <c r="M22" s="104" t="s">
        <v>585</v>
      </c>
      <c r="N22" s="105" t="s">
        <v>604</v>
      </c>
    </row>
    <row r="23" spans="1:14">
      <c r="A23" s="96">
        <v>4</v>
      </c>
      <c r="B23" s="96" t="s">
        <v>19</v>
      </c>
      <c r="C23" s="97" t="s">
        <v>606</v>
      </c>
      <c r="D23" s="96" t="s">
        <v>124</v>
      </c>
      <c r="E23" s="98" t="s">
        <v>566</v>
      </c>
      <c r="F23" s="99" t="e">
        <f t="shared" si="0"/>
        <v>#N/A</v>
      </c>
      <c r="I23" s="104" t="s">
        <v>607</v>
      </c>
      <c r="J23" s="102" t="str">
        <f ca="1">IFERROR(__xludf.DUMMYFUNCTION("REGEXEXTRACT(I23,""\((.*?)\)"")
"),"INF01112")</f>
        <v>INF01112</v>
      </c>
      <c r="K23" s="102" t="str">
        <f t="shared" si="1"/>
        <v>ARQUITETURA E ORGANIZAÇÃO DE COMPUTADORES II</v>
      </c>
      <c r="L23" s="104" t="s">
        <v>568</v>
      </c>
      <c r="M23" s="104" t="s">
        <v>596</v>
      </c>
      <c r="N23" s="105" t="s">
        <v>604</v>
      </c>
    </row>
    <row r="24" spans="1:14">
      <c r="A24" s="96">
        <v>5</v>
      </c>
      <c r="B24" s="96" t="s">
        <v>19</v>
      </c>
      <c r="C24" s="97" t="s">
        <v>190</v>
      </c>
      <c r="D24" s="96" t="s">
        <v>189</v>
      </c>
      <c r="E24" s="98" t="s">
        <v>559</v>
      </c>
      <c r="F24" s="99" t="e">
        <f t="shared" si="0"/>
        <v>#N/A</v>
      </c>
      <c r="I24" s="106" t="s">
        <v>608</v>
      </c>
      <c r="J24" s="102" t="str">
        <f ca="1">IFERROR(__xludf.DUMMYFUNCTION("REGEXEXTRACT(I24,""\((.*?)\)"")
"),"INF01145")</f>
        <v>INF01145</v>
      </c>
      <c r="K24" s="102" t="str">
        <f t="shared" si="1"/>
        <v>BANCOS DE DADOS</v>
      </c>
      <c r="L24" s="104" t="s">
        <v>568</v>
      </c>
      <c r="M24" s="104" t="s">
        <v>609</v>
      </c>
      <c r="N24" s="105" t="s">
        <v>604</v>
      </c>
    </row>
    <row r="25" spans="1:14">
      <c r="A25" s="96">
        <v>5</v>
      </c>
      <c r="B25" s="96" t="s">
        <v>19</v>
      </c>
      <c r="C25" s="97" t="s">
        <v>610</v>
      </c>
      <c r="D25" s="96" t="s">
        <v>177</v>
      </c>
      <c r="E25" s="98" t="s">
        <v>561</v>
      </c>
      <c r="F25" s="99" t="e">
        <f t="shared" si="0"/>
        <v>#N/A</v>
      </c>
      <c r="I25" s="106" t="s">
        <v>611</v>
      </c>
      <c r="J25" s="102" t="str">
        <f ca="1">IFERROR(__xludf.DUMMYFUNCTION("REGEXEXTRACT(I25,""\((.*?)\)"")
"),"INF01205")</f>
        <v>INF01205</v>
      </c>
      <c r="K25" s="102" t="str">
        <f t="shared" si="1"/>
        <v>CAD PARA SISTEMAS DIGITAIS</v>
      </c>
      <c r="L25" s="104" t="s">
        <v>568</v>
      </c>
      <c r="M25" s="104" t="s">
        <v>612</v>
      </c>
      <c r="N25" s="105" t="s">
        <v>604</v>
      </c>
    </row>
    <row r="26" spans="1:14">
      <c r="A26" s="96">
        <v>5</v>
      </c>
      <c r="B26" s="96" t="s">
        <v>19</v>
      </c>
      <c r="C26" s="97" t="s">
        <v>169</v>
      </c>
      <c r="D26" s="96" t="s">
        <v>168</v>
      </c>
      <c r="E26" s="98" t="s">
        <v>559</v>
      </c>
      <c r="F26" s="99" t="str">
        <f t="shared" si="0"/>
        <v>Sem plano</v>
      </c>
      <c r="I26" s="104" t="s">
        <v>613</v>
      </c>
      <c r="J26" s="102" t="str">
        <f ca="1">IFERROR(__xludf.DUMMYFUNCTION("REGEXEXTRACT(I26,""\((.*?)\)"")
"),"INF01058")</f>
        <v>INF01058</v>
      </c>
      <c r="K26" s="102" t="str">
        <f t="shared" si="1"/>
        <v>CIRCUITOS DIGITAIS</v>
      </c>
      <c r="L26" s="104" t="s">
        <v>568</v>
      </c>
      <c r="M26" s="104" t="s">
        <v>614</v>
      </c>
      <c r="N26" s="105" t="s">
        <v>604</v>
      </c>
    </row>
    <row r="27" spans="1:14">
      <c r="A27" s="96">
        <v>5</v>
      </c>
      <c r="B27" s="96" t="s">
        <v>19</v>
      </c>
      <c r="C27" s="97" t="s">
        <v>183</v>
      </c>
      <c r="D27" s="96" t="s">
        <v>182</v>
      </c>
      <c r="E27" s="98" t="s">
        <v>615</v>
      </c>
      <c r="F27" s="99" t="e">
        <f t="shared" si="0"/>
        <v>#N/A</v>
      </c>
      <c r="I27" s="104" t="s">
        <v>616</v>
      </c>
      <c r="J27" s="102" t="str">
        <f ca="1">IFERROR(__xludf.DUMMYFUNCTION("REGEXEXTRACT(I27,""\((.*?)\)"")
"),"INF01124")</f>
        <v>INF01124</v>
      </c>
      <c r="K27" s="102" t="str">
        <f t="shared" si="1"/>
        <v>CLASSIFICAÇÃO E PESQUISA DE DADOS</v>
      </c>
      <c r="L27" s="104" t="s">
        <v>568</v>
      </c>
      <c r="M27" s="104" t="s">
        <v>577</v>
      </c>
      <c r="N27" s="105" t="s">
        <v>604</v>
      </c>
    </row>
    <row r="28" spans="1:14">
      <c r="A28" s="96">
        <v>5</v>
      </c>
      <c r="B28" s="96" t="s">
        <v>19</v>
      </c>
      <c r="C28" s="97" t="s">
        <v>162</v>
      </c>
      <c r="D28" s="96" t="s">
        <v>161</v>
      </c>
      <c r="E28" s="98" t="s">
        <v>559</v>
      </c>
      <c r="F28" s="99" t="e">
        <f t="shared" si="0"/>
        <v>#N/A</v>
      </c>
      <c r="I28" s="104" t="s">
        <v>617</v>
      </c>
      <c r="J28" s="102" t="str">
        <f ca="1">IFERROR(__xludf.DUMMYFUNCTION("REGEXEXTRACT(I28,""\((.*?)\)"")
"),"INF01101")</f>
        <v>INF01101</v>
      </c>
      <c r="K28" s="102" t="str">
        <f t="shared" si="1"/>
        <v>COMPUTAÇÃO BÁSICA FORTRAN</v>
      </c>
      <c r="L28" s="104" t="s">
        <v>568</v>
      </c>
      <c r="M28" s="104" t="s">
        <v>25</v>
      </c>
      <c r="N28" s="105" t="s">
        <v>604</v>
      </c>
    </row>
    <row r="29" spans="1:14">
      <c r="A29" s="96">
        <v>6</v>
      </c>
      <c r="B29" s="96" t="s">
        <v>19</v>
      </c>
      <c r="C29" s="97" t="s">
        <v>230</v>
      </c>
      <c r="D29" s="96" t="s">
        <v>229</v>
      </c>
      <c r="E29" s="98" t="s">
        <v>566</v>
      </c>
      <c r="F29" s="99" t="e">
        <f t="shared" si="0"/>
        <v>#N/A</v>
      </c>
      <c r="I29" s="104" t="s">
        <v>618</v>
      </c>
      <c r="J29" s="102" t="str">
        <f ca="1">IFERROR(__xludf.DUMMYFUNCTION("REGEXEXTRACT(I29,""\((.*?)\)"")
"),"INF01037")</f>
        <v>INF01037</v>
      </c>
      <c r="K29" s="102" t="str">
        <f t="shared" si="1"/>
        <v>COMPUTAÇÃO EVOLUTIVA</v>
      </c>
      <c r="L29" s="104" t="s">
        <v>568</v>
      </c>
      <c r="M29" s="104" t="s">
        <v>619</v>
      </c>
      <c r="N29" s="105" t="s">
        <v>604</v>
      </c>
    </row>
    <row r="30" spans="1:14">
      <c r="A30" s="96">
        <v>6</v>
      </c>
      <c r="B30" s="96" t="s">
        <v>19</v>
      </c>
      <c r="C30" s="97" t="s">
        <v>207</v>
      </c>
      <c r="D30" s="96" t="s">
        <v>206</v>
      </c>
      <c r="E30" s="98" t="s">
        <v>559</v>
      </c>
      <c r="F30" s="99" t="e">
        <f t="shared" si="0"/>
        <v>#N/A</v>
      </c>
      <c r="I30" s="104" t="s">
        <v>620</v>
      </c>
      <c r="J30" s="102" t="str">
        <f ca="1">IFERROR(__xludf.DUMMYFUNCTION("REGEXEXTRACT(I30,""\((.*?)\)"")
"),"INF01119")</f>
        <v>INF01119</v>
      </c>
      <c r="K30" s="102" t="str">
        <f t="shared" si="1"/>
        <v>COMPUTADOR E SISTEMAS DE INFORMAÇÃO</v>
      </c>
      <c r="L30" s="104" t="s">
        <v>568</v>
      </c>
      <c r="M30" s="104" t="s">
        <v>621</v>
      </c>
      <c r="N30" s="105" t="s">
        <v>604</v>
      </c>
    </row>
    <row r="31" spans="1:14">
      <c r="A31" s="96">
        <v>6</v>
      </c>
      <c r="B31" s="96" t="s">
        <v>19</v>
      </c>
      <c r="C31" s="97" t="s">
        <v>215</v>
      </c>
      <c r="D31" s="96" t="s">
        <v>214</v>
      </c>
      <c r="E31" s="98" t="s">
        <v>559</v>
      </c>
      <c r="F31" s="99" t="e">
        <f t="shared" si="0"/>
        <v>#N/A</v>
      </c>
      <c r="I31" s="104" t="s">
        <v>622</v>
      </c>
      <c r="J31" s="102" t="str">
        <f ca="1">IFERROR(__xludf.DUMMYFUNCTION("REGEXEXTRACT(I31,""\((.*?)\)"")
"),"INF01140")</f>
        <v>INF01140</v>
      </c>
      <c r="K31" s="102" t="str">
        <f t="shared" si="1"/>
        <v>COMPUTADOR E SOCIEDADE</v>
      </c>
      <c r="L31" s="104" t="s">
        <v>568</v>
      </c>
      <c r="M31" s="104" t="s">
        <v>619</v>
      </c>
      <c r="N31" s="105" t="s">
        <v>604</v>
      </c>
    </row>
    <row r="32" spans="1:14">
      <c r="A32" s="96">
        <v>6</v>
      </c>
      <c r="B32" s="96" t="s">
        <v>19</v>
      </c>
      <c r="C32" s="97" t="s">
        <v>222</v>
      </c>
      <c r="D32" s="96" t="s">
        <v>221</v>
      </c>
      <c r="E32" s="98" t="s">
        <v>559</v>
      </c>
      <c r="F32" s="99" t="e">
        <f t="shared" si="0"/>
        <v>#N/A</v>
      </c>
      <c r="I32" s="104" t="s">
        <v>623</v>
      </c>
      <c r="J32" s="102" t="str">
        <f ca="1">IFERROR(__xludf.DUMMYFUNCTION("REGEXEXTRACT(I32,""\((.*?)\)"")
"),"INF01194")</f>
        <v>INF01194</v>
      </c>
      <c r="K32" s="102" t="str">
        <f t="shared" si="1"/>
        <v>CONCEPÇÃO DE CIRCUITOS INTEGRADOS II</v>
      </c>
      <c r="L32" s="104" t="s">
        <v>568</v>
      </c>
      <c r="M32" s="104" t="s">
        <v>624</v>
      </c>
      <c r="N32" s="105" t="s">
        <v>604</v>
      </c>
    </row>
    <row r="33" spans="1:14">
      <c r="A33" s="96">
        <v>6</v>
      </c>
      <c r="B33" s="96" t="s">
        <v>19</v>
      </c>
      <c r="C33" s="97" t="s">
        <v>199</v>
      </c>
      <c r="D33" s="96" t="s">
        <v>198</v>
      </c>
      <c r="E33" s="98" t="s">
        <v>559</v>
      </c>
      <c r="F33" s="99" t="e">
        <f t="shared" si="0"/>
        <v>#N/A</v>
      </c>
      <c r="I33" s="104" t="s">
        <v>625</v>
      </c>
      <c r="J33" s="102" t="str">
        <f ca="1">IFERROR(__xludf.DUMMYFUNCTION("REGEXEXTRACT(I33,""\((.*?)\)"")
"),"INF01056")</f>
        <v>INF01056</v>
      </c>
      <c r="K33" s="102" t="str">
        <f t="shared" si="1"/>
        <v>DESAFIOS DE PROGRAMAÇÃO</v>
      </c>
      <c r="L33" s="104" t="s">
        <v>568</v>
      </c>
      <c r="M33" s="104" t="s">
        <v>569</v>
      </c>
      <c r="N33" s="105" t="s">
        <v>604</v>
      </c>
    </row>
    <row r="34" spans="1:14">
      <c r="A34" s="96">
        <v>7</v>
      </c>
      <c r="B34" s="96" t="s">
        <v>19</v>
      </c>
      <c r="C34" s="97" t="s">
        <v>269</v>
      </c>
      <c r="D34" s="96" t="s">
        <v>268</v>
      </c>
      <c r="E34" s="98" t="s">
        <v>559</v>
      </c>
      <c r="F34" s="99" t="e">
        <f t="shared" si="0"/>
        <v>#N/A</v>
      </c>
      <c r="I34" s="104" t="s">
        <v>626</v>
      </c>
      <c r="J34" s="102" t="str">
        <f ca="1">IFERROR(__xludf.DUMMYFUNCTION("REGEXEXTRACT(I34,""\((.*?)\)"")
"),"INF01120")</f>
        <v>INF01120</v>
      </c>
      <c r="K34" s="102" t="str">
        <f t="shared" si="1"/>
        <v>DESENVOLVIMENTO DE SOFTWARE</v>
      </c>
      <c r="L34" s="104" t="s">
        <v>568</v>
      </c>
      <c r="M34" s="104" t="s">
        <v>627</v>
      </c>
      <c r="N34" s="105" t="s">
        <v>604</v>
      </c>
    </row>
    <row r="35" spans="1:14">
      <c r="A35" s="96">
        <v>7</v>
      </c>
      <c r="B35" s="96" t="s">
        <v>19</v>
      </c>
      <c r="C35" s="97" t="s">
        <v>628</v>
      </c>
      <c r="D35" s="96" t="s">
        <v>252</v>
      </c>
      <c r="E35" s="98" t="s">
        <v>566</v>
      </c>
      <c r="F35" s="99" t="e">
        <f t="shared" si="0"/>
        <v>#N/A</v>
      </c>
      <c r="I35" s="104" t="s">
        <v>629</v>
      </c>
      <c r="J35" s="102" t="str">
        <f ca="1">IFERROR(__xludf.DUMMYFUNCTION("REGEXEXTRACT(I35,""\((.*?)\)"")
"),"INF01032")</f>
        <v>INF01032</v>
      </c>
      <c r="K35" s="102" t="str">
        <f t="shared" si="1"/>
        <v>EMPREENDIMENTO EM INFORMÁTICA</v>
      </c>
      <c r="L35" s="104" t="s">
        <v>568</v>
      </c>
      <c r="M35" s="104" t="s">
        <v>630</v>
      </c>
      <c r="N35" s="105" t="s">
        <v>604</v>
      </c>
    </row>
    <row r="36" spans="1:14">
      <c r="A36" s="96">
        <v>7</v>
      </c>
      <c r="B36" s="96" t="s">
        <v>19</v>
      </c>
      <c r="C36" s="97" t="s">
        <v>261</v>
      </c>
      <c r="D36" s="96" t="s">
        <v>260</v>
      </c>
      <c r="E36" s="98" t="s">
        <v>559</v>
      </c>
      <c r="F36" s="99" t="str">
        <f t="shared" si="0"/>
        <v>Aprovado</v>
      </c>
      <c r="I36" s="106" t="s">
        <v>631</v>
      </c>
      <c r="J36" s="102" t="str">
        <f ca="1">IFERROR(__xludf.DUMMYFUNCTION("REGEXEXTRACT(I36,""\((.*?)\)"")
"),"INF01001")</f>
        <v>INF01001</v>
      </c>
      <c r="K36" s="102" t="str">
        <f t="shared" si="1"/>
        <v>ESPECIFICAÇÃO FORMAL N</v>
      </c>
      <c r="L36" s="104" t="s">
        <v>568</v>
      </c>
      <c r="M36" s="104" t="s">
        <v>632</v>
      </c>
      <c r="N36" s="105" t="s">
        <v>604</v>
      </c>
    </row>
    <row r="37" spans="1:14">
      <c r="A37" s="96">
        <v>7</v>
      </c>
      <c r="B37" s="96" t="s">
        <v>19</v>
      </c>
      <c r="C37" s="97" t="s">
        <v>245</v>
      </c>
      <c r="D37" s="96" t="s">
        <v>244</v>
      </c>
      <c r="E37" s="98" t="s">
        <v>559</v>
      </c>
      <c r="F37" s="99" t="e">
        <f t="shared" si="0"/>
        <v>#N/A</v>
      </c>
      <c r="I37" s="104" t="s">
        <v>633</v>
      </c>
      <c r="J37" s="102" t="str">
        <f ca="1">IFERROR(__xludf.DUMMYFUNCTION("REGEXEXTRACT(I37,""\((.*?)\)"")
"),"INF01126")</f>
        <v>INF01126</v>
      </c>
      <c r="K37" s="102" t="str">
        <f t="shared" si="1"/>
        <v>ESTRUTURAS DE DADOS I</v>
      </c>
      <c r="L37" s="104" t="s">
        <v>568</v>
      </c>
      <c r="M37" s="104" t="s">
        <v>634</v>
      </c>
      <c r="N37" s="105" t="s">
        <v>604</v>
      </c>
    </row>
    <row r="38" spans="1:14">
      <c r="A38" s="96">
        <v>7</v>
      </c>
      <c r="B38" s="96" t="s">
        <v>19</v>
      </c>
      <c r="C38" s="97" t="s">
        <v>236</v>
      </c>
      <c r="D38" s="96" t="s">
        <v>235</v>
      </c>
      <c r="E38" s="98" t="s">
        <v>559</v>
      </c>
      <c r="F38" s="99" t="e">
        <f t="shared" si="0"/>
        <v>#N/A</v>
      </c>
      <c r="I38" s="104" t="s">
        <v>635</v>
      </c>
      <c r="J38" s="102" t="str">
        <f ca="1">IFERROR(__xludf.DUMMYFUNCTION("REGEXEXTRACT(I38,""\((.*?)\)"")
"),"INF01209")</f>
        <v>INF01209</v>
      </c>
      <c r="K38" s="102" t="str">
        <f t="shared" si="1"/>
        <v>FUNDAMENTOS DE TOLERÂNCIA A FALHAS</v>
      </c>
      <c r="L38" s="104" t="s">
        <v>568</v>
      </c>
      <c r="M38" s="104" t="s">
        <v>636</v>
      </c>
      <c r="N38" s="105" t="s">
        <v>604</v>
      </c>
    </row>
    <row r="39" spans="1:14">
      <c r="A39" s="96">
        <v>8</v>
      </c>
      <c r="B39" s="96" t="s">
        <v>19</v>
      </c>
      <c r="C39" s="97" t="s">
        <v>637</v>
      </c>
      <c r="D39" s="96" t="s">
        <v>274</v>
      </c>
      <c r="E39" s="98" t="s">
        <v>615</v>
      </c>
      <c r="F39" s="99" t="e">
        <f t="shared" si="0"/>
        <v>#N/A</v>
      </c>
      <c r="I39" s="104" t="s">
        <v>638</v>
      </c>
      <c r="J39" s="102" t="str">
        <f ca="1">IFERROR(__xludf.DUMMYFUNCTION("REGEXEXTRACT(I39,""\((.*?)\)"")
"),"INF01015")</f>
        <v>INF01015</v>
      </c>
      <c r="K39" s="102" t="str">
        <f t="shared" si="1"/>
        <v>GERÊNCIA E APLICAÇÕES EM REDES</v>
      </c>
      <c r="L39" s="104" t="s">
        <v>568</v>
      </c>
      <c r="M39" s="104" t="s">
        <v>639</v>
      </c>
      <c r="N39" s="105" t="s">
        <v>604</v>
      </c>
    </row>
    <row r="40" spans="1:14">
      <c r="A40" s="96">
        <v>9</v>
      </c>
      <c r="B40" s="96" t="s">
        <v>19</v>
      </c>
      <c r="C40" s="97" t="s">
        <v>640</v>
      </c>
      <c r="D40" s="96" t="s">
        <v>641</v>
      </c>
      <c r="E40" s="98" t="s">
        <v>615</v>
      </c>
      <c r="F40" s="99" t="e">
        <f t="shared" si="0"/>
        <v>#N/A</v>
      </c>
      <c r="I40" s="104" t="s">
        <v>642</v>
      </c>
      <c r="J40" s="102" t="str">
        <f ca="1">IFERROR(__xludf.DUMMYFUNCTION("REGEXEXTRACT(I40,""\((.*?)\)"")
"),"INF01039")</f>
        <v>INF01039</v>
      </c>
      <c r="K40" s="102" t="str">
        <f t="shared" si="1"/>
        <v>HISTÓRIA DA COMPUTAÇÃO</v>
      </c>
      <c r="L40" s="104" t="s">
        <v>568</v>
      </c>
      <c r="M40" s="104" t="s">
        <v>643</v>
      </c>
      <c r="N40" s="105" t="s">
        <v>604</v>
      </c>
    </row>
    <row r="41" spans="1:14">
      <c r="A41" s="97"/>
      <c r="B41" s="96" t="s">
        <v>308</v>
      </c>
      <c r="C41" s="97" t="s">
        <v>644</v>
      </c>
      <c r="D41" s="96" t="s">
        <v>390</v>
      </c>
      <c r="E41" s="98" t="s">
        <v>559</v>
      </c>
      <c r="F41" s="99" t="str">
        <f t="shared" si="0"/>
        <v>Aprovado</v>
      </c>
      <c r="I41" s="106" t="s">
        <v>645</v>
      </c>
      <c r="J41" s="102" t="str">
        <f ca="1">IFERROR(__xludf.DUMMYFUNCTION("REGEXEXTRACT(I41,""\((.*?)\)"")
"),"INF01048")</f>
        <v>INF01048</v>
      </c>
      <c r="K41" s="102" t="str">
        <f t="shared" si="1"/>
        <v>INTELIGÊNCIA ARTIFICIAL</v>
      </c>
      <c r="L41" s="104" t="s">
        <v>568</v>
      </c>
      <c r="M41" s="104" t="s">
        <v>634</v>
      </c>
      <c r="N41" s="105" t="s">
        <v>604</v>
      </c>
    </row>
    <row r="42" spans="1:14">
      <c r="A42" s="97"/>
      <c r="B42" s="96" t="s">
        <v>308</v>
      </c>
      <c r="C42" s="97" t="s">
        <v>646</v>
      </c>
      <c r="D42" s="96" t="s">
        <v>443</v>
      </c>
      <c r="E42" s="98" t="s">
        <v>559</v>
      </c>
      <c r="F42" s="99" t="e">
        <f t="shared" si="0"/>
        <v>#N/A</v>
      </c>
      <c r="I42" s="104" t="s">
        <v>647</v>
      </c>
      <c r="J42" s="102" t="str">
        <f ca="1">IFERROR(__xludf.DUMMYFUNCTION("REGEXEXTRACT(I42,""\((.*?)\)"")
"),"INF01107")</f>
        <v>INF01107</v>
      </c>
      <c r="K42" s="102" t="str">
        <f t="shared" si="1"/>
        <v>INTRODUÇÃO À ARQUITETURA DE COMPUTADORES</v>
      </c>
      <c r="L42" s="104" t="s">
        <v>568</v>
      </c>
      <c r="M42" s="104" t="s">
        <v>648</v>
      </c>
      <c r="N42" s="105" t="s">
        <v>604</v>
      </c>
    </row>
    <row r="43" spans="1:14">
      <c r="A43" s="97"/>
      <c r="B43" s="96" t="s">
        <v>308</v>
      </c>
      <c r="C43" s="97" t="s">
        <v>649</v>
      </c>
      <c r="D43" s="96" t="s">
        <v>447</v>
      </c>
      <c r="E43" s="98" t="s">
        <v>559</v>
      </c>
      <c r="F43" s="99" t="str">
        <f t="shared" si="0"/>
        <v>Sem plano</v>
      </c>
      <c r="I43" s="104" t="s">
        <v>650</v>
      </c>
      <c r="J43" s="102" t="str">
        <f ca="1">IFERROR(__xludf.DUMMYFUNCTION("REGEXEXTRACT(I43,""\((.*?)\)"")
"),"INF01210")</f>
        <v>INF01210</v>
      </c>
      <c r="K43" s="102" t="str">
        <f t="shared" si="1"/>
        <v>INTRODUÇÃO À INFORMÁTICA</v>
      </c>
      <c r="L43" s="104" t="s">
        <v>568</v>
      </c>
      <c r="M43" s="104" t="s">
        <v>651</v>
      </c>
      <c r="N43" s="105" t="s">
        <v>604</v>
      </c>
    </row>
    <row r="44" spans="1:14">
      <c r="A44" s="97"/>
      <c r="B44" s="96" t="s">
        <v>308</v>
      </c>
      <c r="C44" s="97" t="s">
        <v>386</v>
      </c>
      <c r="D44" s="96" t="s">
        <v>385</v>
      </c>
      <c r="E44" s="98" t="s">
        <v>559</v>
      </c>
      <c r="F44" s="99" t="e">
        <f t="shared" si="0"/>
        <v>#N/A</v>
      </c>
      <c r="I44" s="106" t="s">
        <v>652</v>
      </c>
      <c r="J44" s="102" t="str">
        <f ca="1">IFERROR(__xludf.DUMMYFUNCTION("REGEXEXTRACT(I44,""\((.*?)\)"")
"),"INF01049")</f>
        <v>INF01049</v>
      </c>
      <c r="K44" s="102" t="str">
        <f t="shared" si="1"/>
        <v>INTRODUÇÃO À PESQUISA EM INFORMÁTICA</v>
      </c>
      <c r="L44" s="104" t="s">
        <v>568</v>
      </c>
      <c r="M44" s="104" t="s">
        <v>612</v>
      </c>
      <c r="N44" s="105" t="s">
        <v>604</v>
      </c>
    </row>
    <row r="45" spans="1:14">
      <c r="A45" s="97"/>
      <c r="B45" s="96" t="s">
        <v>308</v>
      </c>
      <c r="C45" s="97" t="s">
        <v>653</v>
      </c>
      <c r="D45" s="96" t="s">
        <v>372</v>
      </c>
      <c r="E45" s="98" t="s">
        <v>559</v>
      </c>
      <c r="F45" s="99" t="str">
        <f t="shared" si="0"/>
        <v>Aprovado</v>
      </c>
      <c r="I45" s="104" t="s">
        <v>654</v>
      </c>
      <c r="J45" s="102" t="str">
        <f ca="1">IFERROR(__xludf.DUMMYFUNCTION("REGEXEXTRACT(I45,""\((.*?)\)"")
"),"INF01212")</f>
        <v>INF01212</v>
      </c>
      <c r="K45" s="102" t="str">
        <f t="shared" si="1"/>
        <v>METODOLOGIA DE PROGRAMAÇÃO</v>
      </c>
      <c r="L45" s="104" t="s">
        <v>568</v>
      </c>
      <c r="M45" s="104" t="s">
        <v>25</v>
      </c>
      <c r="N45" s="105" t="s">
        <v>604</v>
      </c>
    </row>
    <row r="46" spans="1:14">
      <c r="A46" s="97"/>
      <c r="B46" s="96" t="s">
        <v>308</v>
      </c>
      <c r="C46" s="97" t="s">
        <v>655</v>
      </c>
      <c r="D46" s="96" t="s">
        <v>656</v>
      </c>
      <c r="E46" s="98" t="s">
        <v>559</v>
      </c>
      <c r="F46" s="99" t="str">
        <f t="shared" si="0"/>
        <v>Aprovado</v>
      </c>
      <c r="I46" s="104" t="s">
        <v>657</v>
      </c>
      <c r="J46" s="102" t="str">
        <f ca="1">IFERROR(__xludf.DUMMYFUNCTION("REGEXEXTRACT(I46,""\((.*?)\)"")
"),"INF01121")</f>
        <v>INF01121</v>
      </c>
      <c r="K46" s="102" t="str">
        <f t="shared" si="1"/>
        <v>MODELOS DE LINGUAGEM DE PROGRAMAÇÃO</v>
      </c>
      <c r="L46" s="104" t="s">
        <v>568</v>
      </c>
      <c r="M46" s="104" t="s">
        <v>577</v>
      </c>
      <c r="N46" s="105" t="s">
        <v>604</v>
      </c>
    </row>
    <row r="47" spans="1:14">
      <c r="A47" s="97"/>
      <c r="B47" s="96" t="s">
        <v>308</v>
      </c>
      <c r="C47" s="97" t="s">
        <v>658</v>
      </c>
      <c r="D47" s="96" t="s">
        <v>659</v>
      </c>
      <c r="E47" s="98" t="s">
        <v>559</v>
      </c>
      <c r="F47" s="99" t="str">
        <f t="shared" si="0"/>
        <v>Sem plano</v>
      </c>
      <c r="I47" s="104" t="s">
        <v>660</v>
      </c>
      <c r="J47" s="102" t="str">
        <f ca="1">IFERROR(__xludf.DUMMYFUNCTION("REGEXEXTRACT(I47,""\((.*?)\)"")
"),"INF01057")</f>
        <v>INF01057</v>
      </c>
      <c r="K47" s="102" t="str">
        <f t="shared" si="1"/>
        <v>PROGRAMAÇÃO ORIENTADA A OBJETO</v>
      </c>
      <c r="L47" s="104" t="s">
        <v>568</v>
      </c>
      <c r="M47" s="104" t="s">
        <v>661</v>
      </c>
      <c r="N47" s="105" t="s">
        <v>604</v>
      </c>
    </row>
    <row r="48" spans="1:14">
      <c r="A48" s="97"/>
      <c r="B48" s="96" t="s">
        <v>308</v>
      </c>
      <c r="C48" s="97" t="s">
        <v>336</v>
      </c>
      <c r="D48" s="96" t="s">
        <v>335</v>
      </c>
      <c r="E48" s="98" t="s">
        <v>559</v>
      </c>
      <c r="F48" s="99" t="e">
        <f t="shared" si="0"/>
        <v>#N/A</v>
      </c>
      <c r="I48" s="104" t="s">
        <v>662</v>
      </c>
      <c r="J48" s="102" t="str">
        <f ca="1">IFERROR(__xludf.DUMMYFUNCTION("REGEXEXTRACT(I48,""\((.*?)\)"")
"),"INF01086")</f>
        <v>INF01086</v>
      </c>
      <c r="K48" s="102" t="str">
        <f t="shared" si="1"/>
        <v>PROJETO DE CIRCUITOS DIGITAIS</v>
      </c>
      <c r="L48" s="104" t="s">
        <v>568</v>
      </c>
      <c r="M48" s="104" t="s">
        <v>663</v>
      </c>
      <c r="N48" s="105" t="s">
        <v>604</v>
      </c>
    </row>
    <row r="49" spans="1:14">
      <c r="A49" s="97"/>
      <c r="B49" s="96" t="s">
        <v>308</v>
      </c>
      <c r="C49" s="97" t="s">
        <v>664</v>
      </c>
      <c r="D49" s="96" t="s">
        <v>313</v>
      </c>
      <c r="E49" s="98" t="s">
        <v>559</v>
      </c>
      <c r="F49" s="99" t="e">
        <f t="shared" si="0"/>
        <v>#N/A</v>
      </c>
      <c r="I49" s="104" t="s">
        <v>665</v>
      </c>
      <c r="J49" s="102" t="str">
        <f ca="1">IFERROR(__xludf.DUMMYFUNCTION("REGEXEXTRACT(I49,""\((.*?)\)"")
"),"INF01021")</f>
        <v>INF01021</v>
      </c>
      <c r="K49" s="102" t="str">
        <f t="shared" si="1"/>
        <v>PROJETO DE HIPERDOCUMENTOS</v>
      </c>
      <c r="L49" s="104" t="s">
        <v>568</v>
      </c>
      <c r="M49" s="104" t="s">
        <v>643</v>
      </c>
      <c r="N49" s="105" t="s">
        <v>604</v>
      </c>
    </row>
    <row r="50" spans="1:14">
      <c r="A50" s="97"/>
      <c r="B50" s="96" t="s">
        <v>308</v>
      </c>
      <c r="C50" s="97" t="s">
        <v>666</v>
      </c>
      <c r="D50" s="96" t="s">
        <v>365</v>
      </c>
      <c r="E50" s="98" t="s">
        <v>559</v>
      </c>
      <c r="F50" s="99" t="e">
        <f t="shared" si="0"/>
        <v>#N/A</v>
      </c>
      <c r="I50" s="104" t="s">
        <v>667</v>
      </c>
      <c r="J50" s="102" t="str">
        <f ca="1">IFERROR(__xludf.DUMMYFUNCTION("REGEXEXTRACT(I50,""\((.*?)\)"")
"),"INF01116")</f>
        <v>INF01116</v>
      </c>
      <c r="K50" s="102" t="str">
        <f t="shared" si="1"/>
        <v>SIMULAÇÃO</v>
      </c>
      <c r="L50" s="104" t="s">
        <v>568</v>
      </c>
      <c r="M50" s="104" t="s">
        <v>25</v>
      </c>
      <c r="N50" s="105" t="s">
        <v>604</v>
      </c>
    </row>
    <row r="51" spans="1:14">
      <c r="A51" s="97"/>
      <c r="B51" s="96" t="s">
        <v>308</v>
      </c>
      <c r="C51" s="97" t="s">
        <v>668</v>
      </c>
      <c r="D51" s="96" t="s">
        <v>376</v>
      </c>
      <c r="E51" s="98" t="s">
        <v>559</v>
      </c>
      <c r="F51" s="99" t="e">
        <f t="shared" si="0"/>
        <v>#N/A</v>
      </c>
      <c r="I51" s="104" t="s">
        <v>669</v>
      </c>
      <c r="J51" s="102" t="str">
        <f ca="1">IFERROR(__xludf.DUMMYFUNCTION("REGEXEXTRACT(I51,""\((.*?)\)"")
"),"INF01014")</f>
        <v>INF01014</v>
      </c>
      <c r="K51" s="102" t="str">
        <f t="shared" si="1"/>
        <v>SISTEMAS DE BANCO DE DADOS DISTRIBUÍDOS</v>
      </c>
      <c r="L51" s="104" t="s">
        <v>568</v>
      </c>
      <c r="M51" s="104" t="s">
        <v>25</v>
      </c>
      <c r="N51" s="105" t="s">
        <v>604</v>
      </c>
    </row>
    <row r="52" spans="1:14">
      <c r="A52" s="97"/>
      <c r="B52" s="96" t="s">
        <v>308</v>
      </c>
      <c r="C52" s="97" t="s">
        <v>670</v>
      </c>
      <c r="D52" s="96" t="s">
        <v>339</v>
      </c>
      <c r="E52" s="98" t="s">
        <v>671</v>
      </c>
      <c r="F52" s="99" t="e">
        <f t="shared" si="0"/>
        <v>#N/A</v>
      </c>
      <c r="I52" s="104" t="s">
        <v>672</v>
      </c>
      <c r="J52" s="102" t="str">
        <f ca="1">IFERROR(__xludf.DUMMYFUNCTION("REGEXEXTRACT(I52,""\((.*?)\)"")
"),"INF01175")</f>
        <v>INF01175</v>
      </c>
      <c r="K52" s="102" t="str">
        <f t="shared" si="1"/>
        <v>SISTEMAS DIGITAIS PARA COMPUTADORES A</v>
      </c>
      <c r="L52" s="104" t="s">
        <v>568</v>
      </c>
      <c r="M52" s="104" t="s">
        <v>673</v>
      </c>
      <c r="N52" s="105" t="s">
        <v>604</v>
      </c>
    </row>
    <row r="53" spans="1:14">
      <c r="A53" s="97"/>
      <c r="B53" s="96" t="s">
        <v>308</v>
      </c>
      <c r="C53" s="97" t="s">
        <v>674</v>
      </c>
      <c r="D53" s="96" t="s">
        <v>369</v>
      </c>
      <c r="E53" s="98" t="s">
        <v>559</v>
      </c>
      <c r="F53" s="99" t="e">
        <f t="shared" si="0"/>
        <v>#N/A</v>
      </c>
      <c r="I53" s="104" t="s">
        <v>675</v>
      </c>
      <c r="J53" s="102" t="str">
        <f ca="1">IFERROR(__xludf.DUMMYFUNCTION("REGEXEXTRACT(I53,""\((.*?)\)"")
"),"INF01038")</f>
        <v>INF01038</v>
      </c>
      <c r="K53" s="102" t="str">
        <f t="shared" si="1"/>
        <v>SISTEMAS ESPECIALISTAS N</v>
      </c>
      <c r="L53" s="104" t="s">
        <v>568</v>
      </c>
      <c r="M53" s="104" t="s">
        <v>676</v>
      </c>
      <c r="N53" s="105" t="s">
        <v>604</v>
      </c>
    </row>
    <row r="54" spans="1:14">
      <c r="A54" s="97"/>
      <c r="B54" s="96" t="s">
        <v>308</v>
      </c>
      <c r="C54" s="97" t="s">
        <v>677</v>
      </c>
      <c r="D54" s="96" t="s">
        <v>432</v>
      </c>
      <c r="E54" s="98" t="s">
        <v>559</v>
      </c>
      <c r="F54" s="99" t="str">
        <f t="shared" si="0"/>
        <v>Aprovado</v>
      </c>
      <c r="I54" s="104" t="s">
        <v>678</v>
      </c>
      <c r="J54" s="102" t="str">
        <f ca="1">IFERROR(__xludf.DUMMYFUNCTION("REGEXEXTRACT(I54,""\((.*?)\)"")
"),"INF01018")</f>
        <v>INF01018</v>
      </c>
      <c r="K54" s="102" t="str">
        <f t="shared" si="1"/>
        <v>SISTEMAS OPERACIONAIS DISTRIBUÍDOS E DE REDES</v>
      </c>
      <c r="L54" s="104" t="s">
        <v>568</v>
      </c>
      <c r="M54" s="104" t="s">
        <v>25</v>
      </c>
      <c r="N54" s="105" t="s">
        <v>604</v>
      </c>
    </row>
    <row r="55" spans="1:14">
      <c r="A55" s="97"/>
      <c r="B55" s="96" t="s">
        <v>308</v>
      </c>
      <c r="C55" s="97" t="s">
        <v>679</v>
      </c>
      <c r="D55" s="96" t="s">
        <v>471</v>
      </c>
      <c r="E55" s="98" t="s">
        <v>559</v>
      </c>
      <c r="F55" s="99" t="e">
        <f t="shared" si="0"/>
        <v>#N/A</v>
      </c>
      <c r="I55" s="104" t="s">
        <v>680</v>
      </c>
      <c r="J55" s="102" t="str">
        <f ca="1">IFERROR(__xludf.DUMMYFUNCTION("REGEXEXTRACT(I55,""\((.*?)\)"")
"),"INF01214")</f>
        <v>INF01214</v>
      </c>
      <c r="K55" s="102" t="str">
        <f t="shared" si="1"/>
        <v>TESTE DE SOFTWARE</v>
      </c>
      <c r="L55" s="104" t="s">
        <v>568</v>
      </c>
      <c r="M55" s="104" t="s">
        <v>630</v>
      </c>
      <c r="N55" s="105" t="s">
        <v>604</v>
      </c>
    </row>
    <row r="56" spans="1:14">
      <c r="A56" s="97"/>
      <c r="B56" s="96" t="s">
        <v>308</v>
      </c>
      <c r="C56" s="97" t="s">
        <v>681</v>
      </c>
      <c r="D56" s="96" t="s">
        <v>487</v>
      </c>
      <c r="E56" s="98" t="s">
        <v>566</v>
      </c>
      <c r="F56" s="99" t="e">
        <f t="shared" si="0"/>
        <v>#N/A</v>
      </c>
      <c r="I56" s="106" t="s">
        <v>682</v>
      </c>
      <c r="J56" s="102" t="str">
        <f ca="1">IFERROR(__xludf.DUMMYFUNCTION("REGEXEXTRACT(I56,""\((.*?)\)"")
"),"INF01179")</f>
        <v>INF01179</v>
      </c>
      <c r="K56" s="102" t="str">
        <f t="shared" si="1"/>
        <v>TÓPICOS ESPECIAIS EM COMPUTAÇÃO I</v>
      </c>
      <c r="L56" s="104" t="s">
        <v>568</v>
      </c>
      <c r="M56" s="104" t="s">
        <v>574</v>
      </c>
      <c r="N56" s="105" t="s">
        <v>604</v>
      </c>
    </row>
    <row r="57" spans="1:14">
      <c r="A57" s="97"/>
      <c r="B57" s="96" t="s">
        <v>308</v>
      </c>
      <c r="C57" s="97" t="s">
        <v>683</v>
      </c>
      <c r="D57" s="96" t="s">
        <v>401</v>
      </c>
      <c r="E57" s="98" t="s">
        <v>559</v>
      </c>
      <c r="F57" s="99" t="str">
        <f t="shared" si="0"/>
        <v>Sem plano</v>
      </c>
      <c r="I57" s="104" t="s">
        <v>684</v>
      </c>
      <c r="J57" s="102" t="str">
        <f ca="1">IFERROR(__xludf.DUMMYFUNCTION("REGEXEXTRACT(I57,""\((.*?)\)"")
"),"INF01182")</f>
        <v>INF01182</v>
      </c>
      <c r="K57" s="102" t="str">
        <f t="shared" si="1"/>
        <v>TÓPICOS ESPECIAIS EM COMPUTAÇÃO II</v>
      </c>
      <c r="L57" s="104" t="s">
        <v>568</v>
      </c>
      <c r="M57" s="104" t="s">
        <v>685</v>
      </c>
      <c r="N57" s="105" t="s">
        <v>604</v>
      </c>
    </row>
    <row r="58" spans="1:14">
      <c r="A58" s="97"/>
      <c r="B58" s="96" t="s">
        <v>308</v>
      </c>
      <c r="C58" s="97" t="s">
        <v>686</v>
      </c>
      <c r="D58" s="96" t="s">
        <v>687</v>
      </c>
      <c r="E58" s="98" t="s">
        <v>559</v>
      </c>
      <c r="F58" s="99" t="e">
        <f t="shared" si="0"/>
        <v>#N/A</v>
      </c>
      <c r="I58" s="104" t="s">
        <v>688</v>
      </c>
      <c r="J58" s="102" t="str">
        <f ca="1">IFERROR(__xludf.DUMMYFUNCTION("REGEXEXTRACT(I58,""\((.*?)\)"")
"),"INF01188")</f>
        <v>INF01188</v>
      </c>
      <c r="K58" s="102" t="str">
        <f t="shared" si="1"/>
        <v>TÓPICOS ESPECIAIS EM COMPUTAÇÃO III</v>
      </c>
      <c r="L58" s="104" t="s">
        <v>568</v>
      </c>
      <c r="M58" s="104" t="s">
        <v>574</v>
      </c>
      <c r="N58" s="105" t="s">
        <v>604</v>
      </c>
    </row>
    <row r="59" spans="1:14">
      <c r="A59" s="97"/>
      <c r="B59" s="96" t="s">
        <v>308</v>
      </c>
      <c r="C59" s="97" t="s">
        <v>689</v>
      </c>
      <c r="D59" s="96" t="s">
        <v>332</v>
      </c>
      <c r="E59" s="98" t="s">
        <v>559</v>
      </c>
      <c r="F59" s="99" t="e">
        <f t="shared" si="0"/>
        <v>#N/A</v>
      </c>
      <c r="I59" s="104" t="s">
        <v>690</v>
      </c>
      <c r="J59" s="102" t="str">
        <f ca="1">IFERROR(__xludf.DUMMYFUNCTION("REGEXEXTRACT(I59,""\((.*?)\)"")
"),"INF01198")</f>
        <v>INF01198</v>
      </c>
      <c r="K59" s="102" t="str">
        <f t="shared" si="1"/>
        <v>TÓPICOS ESPECIAIS EM COMPUTAÇÃO IV</v>
      </c>
      <c r="L59" s="104" t="s">
        <v>568</v>
      </c>
      <c r="M59" s="104" t="s">
        <v>614</v>
      </c>
      <c r="N59" s="105" t="s">
        <v>604</v>
      </c>
    </row>
    <row r="60" spans="1:14">
      <c r="A60" s="97"/>
      <c r="B60" s="96" t="s">
        <v>308</v>
      </c>
      <c r="C60" s="97" t="s">
        <v>420</v>
      </c>
      <c r="D60" s="96" t="s">
        <v>419</v>
      </c>
      <c r="E60" s="98" t="s">
        <v>559</v>
      </c>
      <c r="F60" s="99" t="e">
        <f t="shared" si="0"/>
        <v>#N/A</v>
      </c>
      <c r="I60" s="104" t="s">
        <v>691</v>
      </c>
      <c r="J60" s="102" t="str">
        <f ca="1">IFERROR(__xludf.DUMMYFUNCTION("REGEXEXTRACT(I60,""\((.*?)\)"")
"),"INF01054")</f>
        <v>INF01054</v>
      </c>
      <c r="K60" s="102" t="str">
        <f t="shared" si="1"/>
        <v>TÓPICOS ESPECIAIS EM COMPUTAÇÃO VII</v>
      </c>
      <c r="L60" s="104" t="s">
        <v>568</v>
      </c>
      <c r="M60" s="104" t="s">
        <v>692</v>
      </c>
      <c r="N60" s="105" t="s">
        <v>604</v>
      </c>
    </row>
    <row r="61" spans="1:14">
      <c r="A61" s="97"/>
      <c r="B61" s="96" t="s">
        <v>308</v>
      </c>
      <c r="C61" s="97" t="s">
        <v>397</v>
      </c>
      <c r="D61" s="96" t="s">
        <v>396</v>
      </c>
      <c r="E61" s="98" t="s">
        <v>559</v>
      </c>
      <c r="F61" s="99" t="e">
        <f t="shared" si="0"/>
        <v>#N/A</v>
      </c>
      <c r="I61" s="104" t="s">
        <v>693</v>
      </c>
      <c r="J61" s="102" t="str">
        <f ca="1">IFERROR(__xludf.DUMMYFUNCTION("REGEXEXTRACT(I61,""\((.*?)\)"")
"),"INF01055")</f>
        <v>INF01055</v>
      </c>
      <c r="K61" s="102" t="str">
        <f t="shared" si="1"/>
        <v>TÓPICOS ESPECIAIS EM COMPUTAÇÃO VIII</v>
      </c>
      <c r="L61" s="104" t="s">
        <v>568</v>
      </c>
      <c r="M61" s="104" t="s">
        <v>694</v>
      </c>
      <c r="N61" s="105" t="s">
        <v>604</v>
      </c>
    </row>
    <row r="62" spans="1:14">
      <c r="A62" s="97"/>
      <c r="B62" s="96" t="s">
        <v>308</v>
      </c>
      <c r="C62" s="97" t="s">
        <v>695</v>
      </c>
      <c r="D62" s="96" t="s">
        <v>428</v>
      </c>
      <c r="E62" s="98" t="s">
        <v>559</v>
      </c>
      <c r="F62" s="99" t="str">
        <f t="shared" si="0"/>
        <v>Aprovado</v>
      </c>
      <c r="I62" s="104" t="s">
        <v>696</v>
      </c>
      <c r="J62" s="102" t="str">
        <f ca="1">IFERROR(__xludf.DUMMYFUNCTION("REGEXEXTRACT(I62,""\((.*?)\)"")
"),"INF01065")</f>
        <v>INF01065</v>
      </c>
      <c r="K62" s="102" t="str">
        <f t="shared" si="1"/>
        <v>TÓPICOS ESPECIAIS EM COMPUTAÇÃO X</v>
      </c>
      <c r="L62" s="104" t="s">
        <v>568</v>
      </c>
      <c r="M62" s="104" t="s">
        <v>694</v>
      </c>
      <c r="N62" s="105" t="s">
        <v>604</v>
      </c>
    </row>
    <row r="63" spans="1:14">
      <c r="A63" s="97"/>
      <c r="B63" s="96" t="s">
        <v>308</v>
      </c>
      <c r="C63" s="97" t="s">
        <v>697</v>
      </c>
      <c r="D63" s="96" t="s">
        <v>698</v>
      </c>
      <c r="E63" s="98" t="s">
        <v>559</v>
      </c>
      <c r="F63" s="99" t="str">
        <f t="shared" si="0"/>
        <v>Aprovado</v>
      </c>
      <c r="I63" s="104" t="s">
        <v>699</v>
      </c>
      <c r="J63" s="102" t="str">
        <f ca="1">IFERROR(__xludf.DUMMYFUNCTION("REGEXEXTRACT(I63,""\((.*?)\)"")
"),"INF01064")</f>
        <v>INF01064</v>
      </c>
      <c r="K63" s="102" t="str">
        <f t="shared" si="1"/>
        <v>TÓPICOS ESPECIAIS EM COMPUTAÇÃO XI</v>
      </c>
      <c r="L63" s="104" t="s">
        <v>568</v>
      </c>
      <c r="M63" s="104" t="s">
        <v>577</v>
      </c>
      <c r="N63" s="105" t="s">
        <v>604</v>
      </c>
    </row>
    <row r="64" spans="1:14">
      <c r="A64" s="97"/>
      <c r="B64" s="96" t="s">
        <v>308</v>
      </c>
      <c r="C64" s="97" t="s">
        <v>423</v>
      </c>
      <c r="D64" s="96" t="s">
        <v>422</v>
      </c>
      <c r="E64" s="98" t="s">
        <v>559</v>
      </c>
      <c r="F64" s="99" t="str">
        <f t="shared" si="0"/>
        <v>Aprovado</v>
      </c>
      <c r="I64" s="104" t="s">
        <v>700</v>
      </c>
      <c r="J64" s="102" t="str">
        <f ca="1">IFERROR(__xludf.DUMMYFUNCTION("REGEXEXTRACT(I64,""\((.*?)\)"")
"),"INF01063")</f>
        <v>INF01063</v>
      </c>
      <c r="K64" s="102" t="str">
        <f t="shared" si="1"/>
        <v>TÓPICOS ESPECIAIS EM COMPUTAÇÃO XII</v>
      </c>
      <c r="L64" s="104" t="s">
        <v>568</v>
      </c>
      <c r="M64" s="104" t="s">
        <v>694</v>
      </c>
      <c r="N64" s="105" t="s">
        <v>604</v>
      </c>
    </row>
    <row r="65" spans="1:14">
      <c r="A65" s="97"/>
      <c r="B65" s="96" t="s">
        <v>308</v>
      </c>
      <c r="C65" s="97" t="s">
        <v>551</v>
      </c>
      <c r="D65" s="96" t="s">
        <v>318</v>
      </c>
      <c r="E65" s="98" t="s">
        <v>559</v>
      </c>
      <c r="F65" s="99" t="e">
        <f t="shared" si="0"/>
        <v>#N/A</v>
      </c>
      <c r="I65" s="104" t="s">
        <v>701</v>
      </c>
      <c r="J65" s="102" t="str">
        <f ca="1">IFERROR(__xludf.DUMMYFUNCTION("REGEXEXTRACT(I65,""\((.*?)\)"")
"),"INF01062")</f>
        <v>INF01062</v>
      </c>
      <c r="K65" s="102" t="str">
        <f t="shared" si="1"/>
        <v>TÓPICOS ESPECIAIS EM COMPUTAÇÃO XVI</v>
      </c>
      <c r="L65" s="104" t="s">
        <v>568</v>
      </c>
      <c r="M65" s="104" t="s">
        <v>614</v>
      </c>
      <c r="N65" s="105" t="s">
        <v>604</v>
      </c>
    </row>
    <row r="66" spans="1:14">
      <c r="A66" s="97"/>
      <c r="B66" s="96" t="s">
        <v>308</v>
      </c>
      <c r="C66" s="97" t="s">
        <v>702</v>
      </c>
      <c r="D66" s="96" t="s">
        <v>351</v>
      </c>
      <c r="E66" s="98" t="s">
        <v>559</v>
      </c>
      <c r="F66" s="99" t="str">
        <f t="shared" si="0"/>
        <v>Aprovado</v>
      </c>
      <c r="I66" s="104" t="s">
        <v>703</v>
      </c>
      <c r="J66" s="102" t="str">
        <f ca="1">IFERROR(__xludf.DUMMYFUNCTION("REGEXEXTRACT(I66,""\((.*?)\)"")
"),"INF01061")</f>
        <v>INF01061</v>
      </c>
      <c r="K66" s="102" t="str">
        <f t="shared" si="1"/>
        <v>TÓPICOS ESPECIAIS EM COMPUTAÇÃO XVII</v>
      </c>
      <c r="L66" s="104" t="s">
        <v>568</v>
      </c>
      <c r="M66" s="104" t="s">
        <v>704</v>
      </c>
      <c r="N66" s="105" t="s">
        <v>604</v>
      </c>
    </row>
    <row r="67" spans="1:14">
      <c r="A67" s="97"/>
      <c r="B67" s="96" t="s">
        <v>308</v>
      </c>
      <c r="C67" s="97" t="s">
        <v>705</v>
      </c>
      <c r="D67" s="96" t="s">
        <v>344</v>
      </c>
      <c r="E67" s="98" t="s">
        <v>559</v>
      </c>
      <c r="F67" s="99" t="e">
        <f t="shared" si="0"/>
        <v>#N/A</v>
      </c>
      <c r="I67" s="104" t="s">
        <v>706</v>
      </c>
      <c r="J67" s="102" t="str">
        <f ca="1">IFERROR(__xludf.DUMMYFUNCTION("REGEXEXTRACT(I67,""\((.*?)\)"")
"),"INF01066")</f>
        <v>INF01066</v>
      </c>
      <c r="K67" s="102" t="str">
        <f t="shared" si="1"/>
        <v>TÓPICOS ESPECIAIS EM COMPUTAÇÃO XXII</v>
      </c>
      <c r="L67" s="104" t="s">
        <v>568</v>
      </c>
      <c r="M67" s="104" t="s">
        <v>574</v>
      </c>
      <c r="N67" s="105" t="s">
        <v>604</v>
      </c>
    </row>
    <row r="68" spans="1:14">
      <c r="A68" s="97"/>
      <c r="B68" s="96" t="s">
        <v>308</v>
      </c>
      <c r="C68" s="97" t="s">
        <v>707</v>
      </c>
      <c r="D68" s="96" t="s">
        <v>465</v>
      </c>
      <c r="E68" s="98" t="s">
        <v>559</v>
      </c>
      <c r="F68" s="99" t="e">
        <f t="shared" si="0"/>
        <v>#N/A</v>
      </c>
      <c r="I68" s="104" t="s">
        <v>708</v>
      </c>
      <c r="J68" s="102" t="str">
        <f ca="1">IFERROR(__xludf.DUMMYFUNCTION("REGEXEXTRACT(I68,""\((.*?)\)"")
"),"INF01067")</f>
        <v>INF01067</v>
      </c>
      <c r="K68" s="102" t="str">
        <f t="shared" si="1"/>
        <v>TÓPICOS ESPECIAIS EM COMPUTAÇÃO XXIII</v>
      </c>
      <c r="L68" s="104" t="s">
        <v>568</v>
      </c>
      <c r="M68" s="104" t="s">
        <v>636</v>
      </c>
      <c r="N68" s="105" t="s">
        <v>604</v>
      </c>
    </row>
    <row r="69" spans="1:14">
      <c r="A69" s="97"/>
      <c r="B69" s="96" t="s">
        <v>308</v>
      </c>
      <c r="C69" s="97" t="s">
        <v>709</v>
      </c>
      <c r="D69" s="96" t="s">
        <v>359</v>
      </c>
      <c r="E69" s="98" t="s">
        <v>559</v>
      </c>
      <c r="F69" s="99" t="e">
        <f t="shared" si="0"/>
        <v>#N/A</v>
      </c>
      <c r="I69" s="104" t="s">
        <v>710</v>
      </c>
      <c r="J69" s="102" t="str">
        <f ca="1">IFERROR(__xludf.DUMMYFUNCTION("REGEXEXTRACT(I69,""\((.*?)\)"")
"),"INF01069")</f>
        <v>INF01069</v>
      </c>
      <c r="K69" s="102" t="str">
        <f t="shared" si="1"/>
        <v>TÓPICOS ESPECIAIS EM COMPUTAÇÃO XXIX</v>
      </c>
      <c r="L69" s="104" t="s">
        <v>568</v>
      </c>
      <c r="M69" s="104" t="s">
        <v>589</v>
      </c>
      <c r="N69" s="105" t="s">
        <v>604</v>
      </c>
    </row>
    <row r="70" spans="1:14">
      <c r="A70" s="97"/>
      <c r="B70" s="96" t="s">
        <v>308</v>
      </c>
      <c r="C70" s="97" t="s">
        <v>711</v>
      </c>
      <c r="D70" s="96" t="s">
        <v>379</v>
      </c>
      <c r="E70" s="98" t="s">
        <v>559</v>
      </c>
      <c r="F70" s="99" t="e">
        <f t="shared" si="0"/>
        <v>#N/A</v>
      </c>
      <c r="I70" s="104" t="s">
        <v>712</v>
      </c>
      <c r="J70" s="102" t="str">
        <f ca="1">IFERROR(__xludf.DUMMYFUNCTION("REGEXEXTRACT(I70,""\((.*?)\)"")
"),"INF01070")</f>
        <v>INF01070</v>
      </c>
      <c r="K70" s="102" t="str">
        <f t="shared" si="1"/>
        <v>TÓPICOS ESPECIAIS EM COMPUTAÇÃO XXX</v>
      </c>
      <c r="L70" s="104" t="s">
        <v>568</v>
      </c>
      <c r="M70" s="104" t="s">
        <v>704</v>
      </c>
      <c r="N70" s="105" t="s">
        <v>604</v>
      </c>
    </row>
    <row r="71" spans="1:14">
      <c r="A71" s="97"/>
      <c r="B71" s="96" t="s">
        <v>308</v>
      </c>
      <c r="C71" s="97" t="s">
        <v>713</v>
      </c>
      <c r="D71" s="96" t="s">
        <v>408</v>
      </c>
      <c r="E71" s="98" t="s">
        <v>559</v>
      </c>
      <c r="F71" s="99" t="str">
        <f t="shared" si="0"/>
        <v>Aprovado</v>
      </c>
      <c r="I71" s="104" t="s">
        <v>714</v>
      </c>
      <c r="J71" s="102" t="str">
        <f ca="1">IFERROR(__xludf.DUMMYFUNCTION("REGEXEXTRACT(I71,""\((.*?)\)"")
"),"INF01071")</f>
        <v>INF01071</v>
      </c>
      <c r="K71" s="102" t="str">
        <f t="shared" si="1"/>
        <v>TÓPICOS ESPECIAIS EM COMPUTAÇÃO XXXI</v>
      </c>
      <c r="L71" s="104" t="s">
        <v>568</v>
      </c>
      <c r="M71" s="104" t="s">
        <v>715</v>
      </c>
      <c r="N71" s="105" t="s">
        <v>604</v>
      </c>
    </row>
    <row r="72" spans="1:14">
      <c r="B72" s="49"/>
      <c r="D72" s="49"/>
      <c r="E72" s="49"/>
      <c r="I72" s="104" t="s">
        <v>716</v>
      </c>
      <c r="J72" s="102" t="str">
        <f ca="1">IFERROR(__xludf.DUMMYFUNCTION("REGEXEXTRACT(I72,""\((.*?)\)"")
"),"INF01072")</f>
        <v>INF01072</v>
      </c>
      <c r="K72" s="102" t="str">
        <f t="shared" si="1"/>
        <v>TÓPICOS ESPECIAIS EM COMPUTAÇÃO XXXII</v>
      </c>
      <c r="L72" s="104" t="s">
        <v>568</v>
      </c>
      <c r="M72" s="104" t="s">
        <v>630</v>
      </c>
      <c r="N72" s="105" t="s">
        <v>604</v>
      </c>
    </row>
    <row r="73" spans="1:14">
      <c r="B73" s="49"/>
      <c r="D73" s="49"/>
      <c r="E73" s="49"/>
      <c r="I73" s="104" t="s">
        <v>717</v>
      </c>
      <c r="J73" s="102" t="str">
        <f ca="1">IFERROR(__xludf.DUMMYFUNCTION("REGEXEXTRACT(I73,""\((.*?)\)"")
"),"INF01218")</f>
        <v>INF01218</v>
      </c>
      <c r="K73" s="102" t="str">
        <f t="shared" si="1"/>
        <v>TÓPICOS ESPECIAIS EM COMPUTAÇÃO XXXIII</v>
      </c>
      <c r="L73" s="104" t="s">
        <v>568</v>
      </c>
      <c r="M73" s="104" t="s">
        <v>715</v>
      </c>
      <c r="N73" s="105" t="s">
        <v>604</v>
      </c>
    </row>
    <row r="74" spans="1:14">
      <c r="B74" s="49"/>
      <c r="D74" s="49"/>
      <c r="E74" s="49"/>
      <c r="I74" s="104" t="s">
        <v>718</v>
      </c>
      <c r="J74" s="102" t="str">
        <f ca="1">IFERROR(__xludf.DUMMYFUNCTION("REGEXEXTRACT(I74,""\((.*?)\)"")
"),"INF01220")</f>
        <v>INF01220</v>
      </c>
      <c r="K74" s="102" t="str">
        <f t="shared" si="1"/>
        <v>TÓPICOS ESPECIAIS EM COMPUTAÇÃO XXXV</v>
      </c>
      <c r="L74" s="104" t="s">
        <v>568</v>
      </c>
      <c r="M74" s="104" t="s">
        <v>624</v>
      </c>
      <c r="N74" s="105" t="s">
        <v>604</v>
      </c>
    </row>
    <row r="75" spans="1:14">
      <c r="B75" s="49"/>
      <c r="D75" s="49"/>
      <c r="E75" s="49"/>
      <c r="I75" s="104" t="s">
        <v>719</v>
      </c>
      <c r="J75" s="102" t="str">
        <f ca="1">IFERROR(__xludf.DUMMYFUNCTION("REGEXEXTRACT(I75,""\((.*?)\)"")
"),"INF01053")</f>
        <v>INF01053</v>
      </c>
      <c r="K75" s="102" t="str">
        <f t="shared" si="1"/>
        <v>TÓPICOS ESPECIAIS EM ENGENHARIA DE COMPUTAÇÃO IV</v>
      </c>
      <c r="L75" s="104" t="s">
        <v>568</v>
      </c>
      <c r="M75" s="104" t="s">
        <v>720</v>
      </c>
      <c r="N75" s="105" t="s">
        <v>604</v>
      </c>
    </row>
    <row r="76" spans="1:14">
      <c r="B76" s="49"/>
      <c r="D76" s="49"/>
      <c r="E76" s="49"/>
    </row>
    <row r="77" spans="1:14">
      <c r="B77" s="49"/>
      <c r="D77" s="49"/>
      <c r="E77" s="49"/>
    </row>
    <row r="78" spans="1:14">
      <c r="B78" s="49"/>
      <c r="D78" s="49"/>
      <c r="E78" s="49"/>
    </row>
    <row r="79" spans="1:14">
      <c r="B79" s="49"/>
      <c r="D79" s="49"/>
      <c r="E79" s="49"/>
    </row>
    <row r="80" spans="1:14">
      <c r="B80" s="49"/>
      <c r="D80" s="49"/>
      <c r="E80" s="49"/>
    </row>
    <row r="81" spans="2:5">
      <c r="B81" s="49"/>
      <c r="D81" s="49"/>
      <c r="E81" s="49"/>
    </row>
    <row r="82" spans="2:5">
      <c r="B82" s="49"/>
      <c r="D82" s="49"/>
      <c r="E82" s="49"/>
    </row>
    <row r="83" spans="2:5">
      <c r="B83" s="49"/>
      <c r="D83" s="49"/>
      <c r="E83" s="49"/>
    </row>
    <row r="84" spans="2:5">
      <c r="B84" s="49"/>
      <c r="D84" s="49"/>
      <c r="E84" s="49"/>
    </row>
    <row r="85" spans="2:5">
      <c r="B85" s="49"/>
      <c r="D85" s="49"/>
      <c r="E85" s="49"/>
    </row>
    <row r="86" spans="2:5">
      <c r="B86" s="49"/>
      <c r="D86" s="49"/>
      <c r="E86" s="49"/>
    </row>
    <row r="87" spans="2:5">
      <c r="B87" s="49"/>
      <c r="D87" s="49"/>
      <c r="E87" s="49"/>
    </row>
    <row r="88" spans="2:5">
      <c r="B88" s="49"/>
      <c r="D88" s="49"/>
      <c r="E88" s="49"/>
    </row>
    <row r="89" spans="2:5">
      <c r="B89" s="49"/>
      <c r="D89" s="49"/>
      <c r="E89" s="49"/>
    </row>
    <row r="90" spans="2:5">
      <c r="B90" s="49"/>
      <c r="D90" s="49"/>
      <c r="E90" s="49"/>
    </row>
    <row r="91" spans="2:5">
      <c r="B91" s="49"/>
      <c r="D91" s="49"/>
      <c r="E91" s="49"/>
    </row>
    <row r="92" spans="2:5">
      <c r="B92" s="49"/>
      <c r="D92" s="49"/>
      <c r="E92" s="49"/>
    </row>
    <row r="93" spans="2:5">
      <c r="B93" s="49"/>
      <c r="D93" s="49"/>
      <c r="E93" s="49"/>
    </row>
    <row r="94" spans="2:5">
      <c r="B94" s="49"/>
      <c r="D94" s="49"/>
      <c r="E94" s="49"/>
    </row>
    <row r="95" spans="2:5">
      <c r="B95" s="49"/>
      <c r="D95" s="49"/>
      <c r="E95" s="49"/>
    </row>
    <row r="96" spans="2:5">
      <c r="B96" s="49"/>
      <c r="D96" s="49"/>
      <c r="E96" s="49"/>
    </row>
    <row r="97" spans="2:5">
      <c r="B97" s="49"/>
      <c r="D97" s="49"/>
      <c r="E97" s="49"/>
    </row>
    <row r="98" spans="2:5">
      <c r="B98" s="49"/>
      <c r="D98" s="49"/>
      <c r="E98" s="49"/>
    </row>
    <row r="99" spans="2:5">
      <c r="B99" s="49"/>
      <c r="D99" s="49"/>
      <c r="E99" s="49"/>
    </row>
    <row r="100" spans="2:5">
      <c r="B100" s="49"/>
      <c r="D100" s="49"/>
      <c r="E100" s="49"/>
    </row>
    <row r="101" spans="2:5">
      <c r="B101" s="49"/>
      <c r="D101" s="49"/>
      <c r="E101" s="49"/>
    </row>
    <row r="102" spans="2:5">
      <c r="B102" s="49"/>
      <c r="D102" s="49"/>
      <c r="E102" s="49"/>
    </row>
    <row r="103" spans="2:5">
      <c r="B103" s="49"/>
      <c r="D103" s="49"/>
      <c r="E103" s="49"/>
    </row>
    <row r="104" spans="2:5">
      <c r="B104" s="49"/>
      <c r="D104" s="49"/>
      <c r="E104" s="49"/>
    </row>
    <row r="105" spans="2:5">
      <c r="B105" s="49"/>
      <c r="D105" s="49"/>
      <c r="E105" s="49"/>
    </row>
    <row r="106" spans="2:5">
      <c r="B106" s="49"/>
      <c r="D106" s="49"/>
      <c r="E106" s="49"/>
    </row>
    <row r="107" spans="2:5">
      <c r="B107" s="49"/>
      <c r="D107" s="49"/>
      <c r="E107" s="49"/>
    </row>
    <row r="108" spans="2:5">
      <c r="B108" s="49"/>
      <c r="D108" s="49"/>
      <c r="E108" s="49"/>
    </row>
    <row r="109" spans="2:5">
      <c r="B109" s="49"/>
      <c r="D109" s="49"/>
      <c r="E109" s="49"/>
    </row>
    <row r="110" spans="2:5">
      <c r="B110" s="49"/>
      <c r="D110" s="49"/>
      <c r="E110" s="49"/>
    </row>
    <row r="111" spans="2:5">
      <c r="B111" s="49"/>
      <c r="D111" s="49"/>
      <c r="E111" s="49"/>
    </row>
    <row r="112" spans="2:5">
      <c r="B112" s="49"/>
      <c r="D112" s="49"/>
      <c r="E112" s="49"/>
    </row>
    <row r="113" spans="2:5">
      <c r="B113" s="49"/>
      <c r="D113" s="49"/>
      <c r="E113" s="49"/>
    </row>
    <row r="114" spans="2:5">
      <c r="B114" s="49"/>
      <c r="D114" s="49"/>
      <c r="E114" s="49"/>
    </row>
    <row r="115" spans="2:5">
      <c r="B115" s="49"/>
      <c r="D115" s="49"/>
      <c r="E115" s="49"/>
    </row>
    <row r="116" spans="2:5">
      <c r="B116" s="49"/>
      <c r="D116" s="49"/>
      <c r="E116" s="49"/>
    </row>
    <row r="117" spans="2:5">
      <c r="B117" s="49"/>
      <c r="D117" s="49"/>
      <c r="E117" s="49"/>
    </row>
    <row r="118" spans="2:5">
      <c r="B118" s="49"/>
      <c r="D118" s="49"/>
      <c r="E118" s="49"/>
    </row>
    <row r="119" spans="2:5">
      <c r="B119" s="49"/>
      <c r="D119" s="49"/>
      <c r="E119" s="49"/>
    </row>
    <row r="120" spans="2:5">
      <c r="B120" s="49"/>
      <c r="D120" s="49"/>
      <c r="E120" s="49"/>
    </row>
    <row r="121" spans="2:5">
      <c r="B121" s="49"/>
      <c r="D121" s="49"/>
      <c r="E121" s="49"/>
    </row>
    <row r="122" spans="2:5">
      <c r="B122" s="49"/>
      <c r="D122" s="49"/>
      <c r="E122" s="49"/>
    </row>
    <row r="123" spans="2:5">
      <c r="B123" s="49"/>
      <c r="D123" s="49"/>
      <c r="E123" s="49"/>
    </row>
    <row r="124" spans="2:5">
      <c r="B124" s="49"/>
      <c r="D124" s="49"/>
      <c r="E124" s="49"/>
    </row>
    <row r="125" spans="2:5">
      <c r="B125" s="49"/>
      <c r="D125" s="49"/>
      <c r="E125" s="49"/>
    </row>
    <row r="126" spans="2:5">
      <c r="B126" s="49"/>
      <c r="D126" s="49"/>
      <c r="E126" s="49"/>
    </row>
    <row r="127" spans="2:5">
      <c r="B127" s="49"/>
      <c r="D127" s="49"/>
      <c r="E127" s="49"/>
    </row>
    <row r="128" spans="2:5">
      <c r="B128" s="49"/>
      <c r="D128" s="49"/>
      <c r="E128" s="49"/>
    </row>
    <row r="129" spans="2:5">
      <c r="B129" s="49"/>
      <c r="D129" s="49"/>
      <c r="E129" s="49"/>
    </row>
    <row r="130" spans="2:5">
      <c r="B130" s="49"/>
      <c r="D130" s="49"/>
      <c r="E130" s="49"/>
    </row>
    <row r="131" spans="2:5">
      <c r="B131" s="49"/>
      <c r="D131" s="49"/>
      <c r="E131" s="49"/>
    </row>
    <row r="132" spans="2:5">
      <c r="B132" s="49"/>
      <c r="D132" s="49"/>
      <c r="E132" s="49"/>
    </row>
    <row r="133" spans="2:5">
      <c r="B133" s="49"/>
      <c r="D133" s="49"/>
      <c r="E133" s="49"/>
    </row>
    <row r="134" spans="2:5">
      <c r="B134" s="49"/>
      <c r="D134" s="49"/>
      <c r="E134" s="49"/>
    </row>
    <row r="135" spans="2:5">
      <c r="B135" s="49"/>
      <c r="D135" s="49"/>
      <c r="E135" s="49"/>
    </row>
    <row r="136" spans="2:5">
      <c r="B136" s="49"/>
      <c r="D136" s="49"/>
      <c r="E136" s="49"/>
    </row>
    <row r="137" spans="2:5">
      <c r="B137" s="49"/>
      <c r="D137" s="49"/>
      <c r="E137" s="49"/>
    </row>
    <row r="138" spans="2:5">
      <c r="B138" s="49"/>
      <c r="D138" s="49"/>
      <c r="E138" s="49"/>
    </row>
    <row r="139" spans="2:5">
      <c r="B139" s="49"/>
      <c r="D139" s="49"/>
      <c r="E139" s="49"/>
    </row>
    <row r="140" spans="2:5">
      <c r="B140" s="49"/>
      <c r="D140" s="49"/>
      <c r="E140" s="49"/>
    </row>
    <row r="141" spans="2:5">
      <c r="B141" s="49"/>
      <c r="D141" s="49"/>
      <c r="E141" s="49"/>
    </row>
    <row r="142" spans="2:5">
      <c r="B142" s="49"/>
      <c r="D142" s="49"/>
      <c r="E142" s="49"/>
    </row>
    <row r="143" spans="2:5">
      <c r="B143" s="49"/>
      <c r="D143" s="49"/>
      <c r="E143" s="49"/>
    </row>
    <row r="144" spans="2:5">
      <c r="B144" s="49"/>
      <c r="D144" s="49"/>
      <c r="E144" s="49"/>
    </row>
    <row r="145" spans="2:5">
      <c r="B145" s="49"/>
      <c r="D145" s="49"/>
      <c r="E145" s="49"/>
    </row>
    <row r="146" spans="2:5">
      <c r="B146" s="49"/>
      <c r="D146" s="49"/>
      <c r="E146" s="49"/>
    </row>
    <row r="147" spans="2:5">
      <c r="B147" s="49"/>
      <c r="D147" s="49"/>
      <c r="E147" s="49"/>
    </row>
    <row r="148" spans="2:5">
      <c r="B148" s="49"/>
      <c r="D148" s="49"/>
      <c r="E148" s="49"/>
    </row>
    <row r="149" spans="2:5">
      <c r="B149" s="49"/>
      <c r="D149" s="49"/>
      <c r="E149" s="49"/>
    </row>
    <row r="150" spans="2:5">
      <c r="B150" s="49"/>
      <c r="D150" s="49"/>
      <c r="E150" s="49"/>
    </row>
    <row r="151" spans="2:5">
      <c r="B151" s="49"/>
      <c r="D151" s="49"/>
      <c r="E151" s="49"/>
    </row>
    <row r="152" spans="2:5">
      <c r="B152" s="49"/>
      <c r="D152" s="49"/>
      <c r="E152" s="49"/>
    </row>
    <row r="153" spans="2:5">
      <c r="B153" s="49"/>
      <c r="D153" s="49"/>
      <c r="E153" s="49"/>
    </row>
    <row r="154" spans="2:5">
      <c r="B154" s="49"/>
      <c r="D154" s="49"/>
      <c r="E154" s="49"/>
    </row>
    <row r="155" spans="2:5">
      <c r="B155" s="49"/>
      <c r="D155" s="49"/>
      <c r="E155" s="49"/>
    </row>
    <row r="156" spans="2:5">
      <c r="B156" s="49"/>
      <c r="D156" s="49"/>
      <c r="E156" s="49"/>
    </row>
    <row r="157" spans="2:5">
      <c r="B157" s="49"/>
      <c r="D157" s="49"/>
      <c r="E157" s="49"/>
    </row>
    <row r="158" spans="2:5">
      <c r="B158" s="49"/>
      <c r="D158" s="49"/>
      <c r="E158" s="49"/>
    </row>
    <row r="159" spans="2:5">
      <c r="B159" s="49"/>
      <c r="D159" s="49"/>
      <c r="E159" s="49"/>
    </row>
    <row r="160" spans="2:5">
      <c r="B160" s="49"/>
      <c r="D160" s="49"/>
      <c r="E160" s="49"/>
    </row>
    <row r="161" spans="2:5">
      <c r="B161" s="49"/>
      <c r="D161" s="49"/>
      <c r="E161" s="49"/>
    </row>
    <row r="162" spans="2:5">
      <c r="B162" s="49"/>
      <c r="D162" s="49"/>
      <c r="E162" s="49"/>
    </row>
    <row r="163" spans="2:5">
      <c r="B163" s="49"/>
      <c r="D163" s="49"/>
      <c r="E163" s="49"/>
    </row>
    <row r="164" spans="2:5">
      <c r="B164" s="49"/>
      <c r="D164" s="49"/>
      <c r="E164" s="49"/>
    </row>
    <row r="165" spans="2:5">
      <c r="B165" s="49"/>
      <c r="D165" s="49"/>
      <c r="E165" s="49"/>
    </row>
    <row r="166" spans="2:5">
      <c r="B166" s="49"/>
      <c r="D166" s="49"/>
      <c r="E166" s="49"/>
    </row>
    <row r="167" spans="2:5">
      <c r="B167" s="49"/>
      <c r="D167" s="49"/>
      <c r="E167" s="49"/>
    </row>
    <row r="168" spans="2:5">
      <c r="B168" s="49"/>
      <c r="D168" s="49"/>
      <c r="E168" s="49"/>
    </row>
    <row r="169" spans="2:5">
      <c r="B169" s="49"/>
      <c r="D169" s="49"/>
      <c r="E169" s="49"/>
    </row>
    <row r="170" spans="2:5">
      <c r="B170" s="49"/>
      <c r="D170" s="49"/>
      <c r="E170" s="49"/>
    </row>
    <row r="171" spans="2:5">
      <c r="B171" s="49"/>
      <c r="D171" s="49"/>
      <c r="E171" s="49"/>
    </row>
    <row r="172" spans="2:5">
      <c r="B172" s="49"/>
      <c r="D172" s="49"/>
      <c r="E172" s="49"/>
    </row>
    <row r="173" spans="2:5">
      <c r="B173" s="49"/>
      <c r="D173" s="49"/>
      <c r="E173" s="49"/>
    </row>
    <row r="174" spans="2:5">
      <c r="B174" s="49"/>
      <c r="D174" s="49"/>
      <c r="E174" s="49"/>
    </row>
    <row r="175" spans="2:5">
      <c r="B175" s="49"/>
      <c r="D175" s="49"/>
      <c r="E175" s="49"/>
    </row>
    <row r="176" spans="2:5">
      <c r="B176" s="49"/>
      <c r="D176" s="49"/>
      <c r="E176" s="49"/>
    </row>
    <row r="177" spans="2:5">
      <c r="B177" s="49"/>
      <c r="D177" s="49"/>
      <c r="E177" s="49"/>
    </row>
    <row r="178" spans="2:5">
      <c r="B178" s="49"/>
      <c r="D178" s="49"/>
      <c r="E178" s="49"/>
    </row>
    <row r="179" spans="2:5">
      <c r="B179" s="49"/>
      <c r="D179" s="49"/>
      <c r="E179" s="49"/>
    </row>
    <row r="180" spans="2:5">
      <c r="B180" s="49"/>
      <c r="D180" s="49"/>
      <c r="E180" s="49"/>
    </row>
    <row r="181" spans="2:5">
      <c r="B181" s="49"/>
      <c r="D181" s="49"/>
      <c r="E181" s="49"/>
    </row>
    <row r="182" spans="2:5">
      <c r="B182" s="49"/>
      <c r="D182" s="49"/>
      <c r="E182" s="49"/>
    </row>
    <row r="183" spans="2:5">
      <c r="B183" s="49"/>
      <c r="D183" s="49"/>
      <c r="E183" s="49"/>
    </row>
    <row r="184" spans="2:5">
      <c r="B184" s="49"/>
      <c r="D184" s="49"/>
      <c r="E184" s="49"/>
    </row>
    <row r="185" spans="2:5">
      <c r="B185" s="49"/>
      <c r="D185" s="49"/>
      <c r="E185" s="49"/>
    </row>
    <row r="186" spans="2:5">
      <c r="B186" s="49"/>
      <c r="D186" s="49"/>
      <c r="E186" s="49"/>
    </row>
    <row r="187" spans="2:5">
      <c r="B187" s="49"/>
      <c r="D187" s="49"/>
      <c r="E187" s="49"/>
    </row>
    <row r="188" spans="2:5">
      <c r="B188" s="49"/>
      <c r="D188" s="49"/>
      <c r="E188" s="49"/>
    </row>
    <row r="189" spans="2:5">
      <c r="B189" s="49"/>
      <c r="D189" s="49"/>
      <c r="E189" s="49"/>
    </row>
    <row r="190" spans="2:5">
      <c r="B190" s="49"/>
      <c r="D190" s="49"/>
      <c r="E190" s="49"/>
    </row>
    <row r="191" spans="2:5">
      <c r="B191" s="49"/>
      <c r="D191" s="49"/>
      <c r="E191" s="49"/>
    </row>
    <row r="192" spans="2:5">
      <c r="B192" s="49"/>
      <c r="D192" s="49"/>
      <c r="E192" s="49"/>
    </row>
    <row r="193" spans="2:5">
      <c r="B193" s="49"/>
      <c r="D193" s="49"/>
      <c r="E193" s="49"/>
    </row>
    <row r="194" spans="2:5">
      <c r="B194" s="49"/>
      <c r="D194" s="49"/>
      <c r="E194" s="49"/>
    </row>
    <row r="195" spans="2:5">
      <c r="B195" s="49"/>
      <c r="D195" s="49"/>
      <c r="E195" s="49"/>
    </row>
    <row r="196" spans="2:5">
      <c r="B196" s="49"/>
      <c r="D196" s="49"/>
      <c r="E196" s="49"/>
    </row>
    <row r="197" spans="2:5">
      <c r="B197" s="49"/>
      <c r="D197" s="49"/>
      <c r="E197" s="49"/>
    </row>
    <row r="198" spans="2:5">
      <c r="B198" s="49"/>
      <c r="D198" s="49"/>
      <c r="E198" s="49"/>
    </row>
    <row r="199" spans="2:5">
      <c r="B199" s="49"/>
      <c r="D199" s="49"/>
      <c r="E199" s="49"/>
    </row>
    <row r="200" spans="2:5">
      <c r="B200" s="49"/>
      <c r="D200" s="49"/>
      <c r="E200" s="49"/>
    </row>
    <row r="201" spans="2:5">
      <c r="B201" s="49"/>
      <c r="D201" s="49"/>
      <c r="E201" s="49"/>
    </row>
    <row r="202" spans="2:5">
      <c r="B202" s="49"/>
      <c r="D202" s="49"/>
      <c r="E202" s="49"/>
    </row>
    <row r="203" spans="2:5">
      <c r="B203" s="49"/>
      <c r="D203" s="49"/>
      <c r="E203" s="49"/>
    </row>
    <row r="204" spans="2:5">
      <c r="B204" s="49"/>
      <c r="D204" s="49"/>
      <c r="E204" s="49"/>
    </row>
    <row r="205" spans="2:5">
      <c r="B205" s="49"/>
      <c r="D205" s="49"/>
      <c r="E205" s="49"/>
    </row>
    <row r="206" spans="2:5">
      <c r="B206" s="49"/>
      <c r="D206" s="49"/>
      <c r="E206" s="49"/>
    </row>
    <row r="207" spans="2:5">
      <c r="B207" s="49"/>
      <c r="D207" s="49"/>
      <c r="E207" s="49"/>
    </row>
    <row r="208" spans="2:5">
      <c r="B208" s="49"/>
      <c r="D208" s="49"/>
      <c r="E208" s="49"/>
    </row>
    <row r="209" spans="2:5">
      <c r="B209" s="49"/>
      <c r="D209" s="49"/>
      <c r="E209" s="49"/>
    </row>
    <row r="210" spans="2:5">
      <c r="B210" s="49"/>
      <c r="D210" s="49"/>
      <c r="E210" s="49"/>
    </row>
    <row r="211" spans="2:5">
      <c r="B211" s="49"/>
      <c r="D211" s="49"/>
      <c r="E211" s="49"/>
    </row>
    <row r="212" spans="2:5">
      <c r="B212" s="49"/>
      <c r="D212" s="49"/>
      <c r="E212" s="49"/>
    </row>
    <row r="213" spans="2:5">
      <c r="B213" s="49"/>
      <c r="D213" s="49"/>
      <c r="E213" s="49"/>
    </row>
    <row r="214" spans="2:5">
      <c r="B214" s="49"/>
      <c r="D214" s="49"/>
      <c r="E214" s="49"/>
    </row>
    <row r="215" spans="2:5">
      <c r="B215" s="49"/>
      <c r="D215" s="49"/>
      <c r="E215" s="49"/>
    </row>
    <row r="216" spans="2:5">
      <c r="B216" s="49"/>
      <c r="D216" s="49"/>
      <c r="E216" s="49"/>
    </row>
    <row r="217" spans="2:5">
      <c r="B217" s="49"/>
      <c r="D217" s="49"/>
      <c r="E217" s="49"/>
    </row>
    <row r="218" spans="2:5">
      <c r="B218" s="49"/>
      <c r="D218" s="49"/>
      <c r="E218" s="49"/>
    </row>
    <row r="219" spans="2:5">
      <c r="B219" s="49"/>
      <c r="D219" s="49"/>
      <c r="E219" s="49"/>
    </row>
    <row r="220" spans="2:5">
      <c r="B220" s="49"/>
      <c r="D220" s="49"/>
      <c r="E220" s="49"/>
    </row>
    <row r="221" spans="2:5">
      <c r="B221" s="49"/>
      <c r="D221" s="49"/>
      <c r="E221" s="49"/>
    </row>
    <row r="222" spans="2:5">
      <c r="B222" s="49"/>
      <c r="D222" s="49"/>
      <c r="E222" s="49"/>
    </row>
    <row r="223" spans="2:5">
      <c r="B223" s="49"/>
      <c r="D223" s="49"/>
      <c r="E223" s="49"/>
    </row>
    <row r="224" spans="2:5">
      <c r="B224" s="49"/>
      <c r="D224" s="49"/>
      <c r="E224" s="49"/>
    </row>
    <row r="225" spans="2:5">
      <c r="B225" s="49"/>
      <c r="D225" s="49"/>
      <c r="E225" s="49"/>
    </row>
    <row r="226" spans="2:5">
      <c r="B226" s="49"/>
      <c r="D226" s="49"/>
      <c r="E226" s="49"/>
    </row>
    <row r="227" spans="2:5">
      <c r="B227" s="49"/>
      <c r="D227" s="49"/>
      <c r="E227" s="49"/>
    </row>
    <row r="228" spans="2:5">
      <c r="B228" s="49"/>
      <c r="D228" s="49"/>
      <c r="E228" s="49"/>
    </row>
    <row r="229" spans="2:5">
      <c r="B229" s="49"/>
      <c r="D229" s="49"/>
      <c r="E229" s="49"/>
    </row>
    <row r="230" spans="2:5">
      <c r="B230" s="49"/>
      <c r="D230" s="49"/>
      <c r="E230" s="49"/>
    </row>
    <row r="231" spans="2:5">
      <c r="B231" s="49"/>
      <c r="D231" s="49"/>
      <c r="E231" s="49"/>
    </row>
    <row r="232" spans="2:5">
      <c r="B232" s="49"/>
      <c r="D232" s="49"/>
      <c r="E232" s="49"/>
    </row>
    <row r="233" spans="2:5">
      <c r="B233" s="49"/>
      <c r="D233" s="49"/>
      <c r="E233" s="49"/>
    </row>
    <row r="234" spans="2:5">
      <c r="B234" s="49"/>
      <c r="D234" s="49"/>
      <c r="E234" s="49"/>
    </row>
    <row r="235" spans="2:5">
      <c r="B235" s="49"/>
      <c r="D235" s="49"/>
      <c r="E235" s="49"/>
    </row>
    <row r="236" spans="2:5">
      <c r="B236" s="49"/>
      <c r="D236" s="49"/>
      <c r="E236" s="49"/>
    </row>
    <row r="237" spans="2:5">
      <c r="B237" s="49"/>
      <c r="D237" s="49"/>
      <c r="E237" s="49"/>
    </row>
    <row r="238" spans="2:5">
      <c r="B238" s="49"/>
      <c r="D238" s="49"/>
      <c r="E238" s="49"/>
    </row>
    <row r="239" spans="2:5">
      <c r="B239" s="49"/>
      <c r="D239" s="49"/>
      <c r="E239" s="49"/>
    </row>
    <row r="240" spans="2:5">
      <c r="B240" s="49"/>
      <c r="D240" s="49"/>
      <c r="E240" s="49"/>
    </row>
    <row r="241" spans="2:5">
      <c r="B241" s="49"/>
      <c r="D241" s="49"/>
      <c r="E241" s="49"/>
    </row>
    <row r="242" spans="2:5">
      <c r="B242" s="49"/>
      <c r="D242" s="49"/>
      <c r="E242" s="49"/>
    </row>
    <row r="243" spans="2:5">
      <c r="B243" s="49"/>
      <c r="D243" s="49"/>
      <c r="E243" s="49"/>
    </row>
    <row r="244" spans="2:5">
      <c r="B244" s="49"/>
      <c r="D244" s="49"/>
      <c r="E244" s="49"/>
    </row>
    <row r="245" spans="2:5">
      <c r="B245" s="49"/>
      <c r="D245" s="49"/>
      <c r="E245" s="49"/>
    </row>
    <row r="246" spans="2:5">
      <c r="B246" s="49"/>
      <c r="D246" s="49"/>
      <c r="E246" s="49"/>
    </row>
    <row r="247" spans="2:5">
      <c r="B247" s="49"/>
      <c r="D247" s="49"/>
      <c r="E247" s="49"/>
    </row>
    <row r="248" spans="2:5">
      <c r="B248" s="49"/>
      <c r="D248" s="49"/>
      <c r="E248" s="49"/>
    </row>
    <row r="249" spans="2:5">
      <c r="B249" s="49"/>
      <c r="D249" s="49"/>
      <c r="E249" s="49"/>
    </row>
    <row r="250" spans="2:5">
      <c r="B250" s="49"/>
      <c r="D250" s="49"/>
      <c r="E250" s="49"/>
    </row>
    <row r="251" spans="2:5">
      <c r="B251" s="49"/>
      <c r="D251" s="49"/>
      <c r="E251" s="49"/>
    </row>
    <row r="252" spans="2:5">
      <c r="B252" s="49"/>
      <c r="D252" s="49"/>
      <c r="E252" s="49"/>
    </row>
    <row r="253" spans="2:5">
      <c r="B253" s="49"/>
      <c r="D253" s="49"/>
      <c r="E253" s="49"/>
    </row>
    <row r="254" spans="2:5">
      <c r="B254" s="49"/>
      <c r="D254" s="49"/>
      <c r="E254" s="49"/>
    </row>
    <row r="255" spans="2:5">
      <c r="B255" s="49"/>
      <c r="D255" s="49"/>
      <c r="E255" s="49"/>
    </row>
    <row r="256" spans="2:5">
      <c r="B256" s="49"/>
      <c r="D256" s="49"/>
      <c r="E256" s="49"/>
    </row>
    <row r="257" spans="2:5">
      <c r="B257" s="49"/>
      <c r="D257" s="49"/>
      <c r="E257" s="49"/>
    </row>
    <row r="258" spans="2:5">
      <c r="B258" s="49"/>
      <c r="D258" s="49"/>
      <c r="E258" s="49"/>
    </row>
    <row r="259" spans="2:5">
      <c r="B259" s="49"/>
      <c r="D259" s="49"/>
      <c r="E259" s="49"/>
    </row>
    <row r="260" spans="2:5">
      <c r="B260" s="49"/>
      <c r="D260" s="49"/>
      <c r="E260" s="49"/>
    </row>
    <row r="261" spans="2:5">
      <c r="B261" s="49"/>
      <c r="D261" s="49"/>
      <c r="E261" s="49"/>
    </row>
    <row r="262" spans="2:5">
      <c r="B262" s="49"/>
      <c r="D262" s="49"/>
      <c r="E262" s="49"/>
    </row>
    <row r="263" spans="2:5">
      <c r="B263" s="49"/>
      <c r="D263" s="49"/>
      <c r="E263" s="49"/>
    </row>
    <row r="264" spans="2:5">
      <c r="B264" s="49"/>
      <c r="D264" s="49"/>
      <c r="E264" s="49"/>
    </row>
    <row r="265" spans="2:5">
      <c r="B265" s="49"/>
      <c r="D265" s="49"/>
      <c r="E265" s="49"/>
    </row>
    <row r="266" spans="2:5">
      <c r="B266" s="49"/>
      <c r="D266" s="49"/>
      <c r="E266" s="49"/>
    </row>
    <row r="267" spans="2:5">
      <c r="B267" s="49"/>
      <c r="D267" s="49"/>
      <c r="E267" s="49"/>
    </row>
    <row r="268" spans="2:5">
      <c r="B268" s="49"/>
      <c r="D268" s="49"/>
      <c r="E268" s="49"/>
    </row>
    <row r="269" spans="2:5">
      <c r="B269" s="49"/>
      <c r="D269" s="49"/>
      <c r="E269" s="49"/>
    </row>
    <row r="270" spans="2:5">
      <c r="B270" s="49"/>
      <c r="D270" s="49"/>
      <c r="E270" s="49"/>
    </row>
    <row r="271" spans="2:5">
      <c r="B271" s="49"/>
      <c r="D271" s="49"/>
      <c r="E271" s="49"/>
    </row>
    <row r="272" spans="2:5">
      <c r="B272" s="49"/>
      <c r="D272" s="49"/>
      <c r="E272" s="49"/>
    </row>
    <row r="273" spans="2:5">
      <c r="B273" s="49"/>
      <c r="D273" s="49"/>
      <c r="E273" s="49"/>
    </row>
    <row r="274" spans="2:5">
      <c r="B274" s="49"/>
      <c r="D274" s="49"/>
      <c r="E274" s="49"/>
    </row>
    <row r="275" spans="2:5">
      <c r="B275" s="49"/>
      <c r="D275" s="49"/>
      <c r="E275" s="49"/>
    </row>
    <row r="276" spans="2:5">
      <c r="B276" s="49"/>
      <c r="D276" s="49"/>
      <c r="E276" s="49"/>
    </row>
    <row r="277" spans="2:5">
      <c r="B277" s="49"/>
      <c r="D277" s="49"/>
      <c r="E277" s="49"/>
    </row>
    <row r="278" spans="2:5">
      <c r="B278" s="49"/>
      <c r="D278" s="49"/>
      <c r="E278" s="49"/>
    </row>
    <row r="279" spans="2:5">
      <c r="B279" s="49"/>
      <c r="D279" s="49"/>
      <c r="E279" s="49"/>
    </row>
    <row r="280" spans="2:5">
      <c r="B280" s="49"/>
      <c r="D280" s="49"/>
      <c r="E280" s="49"/>
    </row>
    <row r="281" spans="2:5">
      <c r="B281" s="49"/>
      <c r="D281" s="49"/>
      <c r="E281" s="49"/>
    </row>
    <row r="282" spans="2:5">
      <c r="B282" s="49"/>
      <c r="D282" s="49"/>
      <c r="E282" s="49"/>
    </row>
    <row r="283" spans="2:5">
      <c r="B283" s="49"/>
      <c r="D283" s="49"/>
      <c r="E283" s="49"/>
    </row>
    <row r="284" spans="2:5">
      <c r="B284" s="49"/>
      <c r="D284" s="49"/>
      <c r="E284" s="49"/>
    </row>
    <row r="285" spans="2:5">
      <c r="B285" s="49"/>
      <c r="D285" s="49"/>
      <c r="E285" s="49"/>
    </row>
    <row r="286" spans="2:5">
      <c r="B286" s="49"/>
      <c r="D286" s="49"/>
      <c r="E286" s="49"/>
    </row>
    <row r="287" spans="2:5">
      <c r="B287" s="49"/>
      <c r="D287" s="49"/>
      <c r="E287" s="49"/>
    </row>
    <row r="288" spans="2:5">
      <c r="B288" s="49"/>
      <c r="D288" s="49"/>
      <c r="E288" s="49"/>
    </row>
    <row r="289" spans="2:5">
      <c r="B289" s="49"/>
      <c r="D289" s="49"/>
      <c r="E289" s="49"/>
    </row>
    <row r="290" spans="2:5">
      <c r="B290" s="49"/>
      <c r="D290" s="49"/>
      <c r="E290" s="49"/>
    </row>
    <row r="291" spans="2:5">
      <c r="B291" s="49"/>
      <c r="D291" s="49"/>
      <c r="E291" s="49"/>
    </row>
    <row r="292" spans="2:5">
      <c r="B292" s="49"/>
      <c r="D292" s="49"/>
      <c r="E292" s="49"/>
    </row>
    <row r="293" spans="2:5">
      <c r="B293" s="49"/>
      <c r="D293" s="49"/>
      <c r="E293" s="49"/>
    </row>
    <row r="294" spans="2:5">
      <c r="B294" s="49"/>
      <c r="D294" s="49"/>
      <c r="E294" s="49"/>
    </row>
    <row r="295" spans="2:5">
      <c r="B295" s="49"/>
      <c r="D295" s="49"/>
      <c r="E295" s="49"/>
    </row>
    <row r="296" spans="2:5">
      <c r="B296" s="49"/>
      <c r="D296" s="49"/>
      <c r="E296" s="49"/>
    </row>
    <row r="297" spans="2:5">
      <c r="B297" s="49"/>
      <c r="D297" s="49"/>
      <c r="E297" s="49"/>
    </row>
    <row r="298" spans="2:5">
      <c r="B298" s="49"/>
      <c r="D298" s="49"/>
      <c r="E298" s="49"/>
    </row>
    <row r="299" spans="2:5">
      <c r="B299" s="49"/>
      <c r="D299" s="49"/>
      <c r="E299" s="49"/>
    </row>
    <row r="300" spans="2:5">
      <c r="B300" s="49"/>
      <c r="D300" s="49"/>
      <c r="E300" s="49"/>
    </row>
    <row r="301" spans="2:5">
      <c r="B301" s="49"/>
      <c r="D301" s="49"/>
      <c r="E301" s="49"/>
    </row>
    <row r="302" spans="2:5">
      <c r="B302" s="49"/>
      <c r="D302" s="49"/>
      <c r="E302" s="49"/>
    </row>
    <row r="303" spans="2:5">
      <c r="B303" s="49"/>
      <c r="D303" s="49"/>
      <c r="E303" s="49"/>
    </row>
    <row r="304" spans="2:5">
      <c r="B304" s="49"/>
      <c r="D304" s="49"/>
      <c r="E304" s="49"/>
    </row>
    <row r="305" spans="2:5">
      <c r="B305" s="49"/>
      <c r="D305" s="49"/>
      <c r="E305" s="49"/>
    </row>
    <row r="306" spans="2:5">
      <c r="B306" s="49"/>
      <c r="D306" s="49"/>
      <c r="E306" s="49"/>
    </row>
    <row r="307" spans="2:5">
      <c r="B307" s="49"/>
      <c r="D307" s="49"/>
      <c r="E307" s="49"/>
    </row>
    <row r="308" spans="2:5">
      <c r="B308" s="49"/>
      <c r="D308" s="49"/>
      <c r="E308" s="49"/>
    </row>
    <row r="309" spans="2:5">
      <c r="B309" s="49"/>
      <c r="D309" s="49"/>
      <c r="E309" s="49"/>
    </row>
    <row r="310" spans="2:5">
      <c r="B310" s="49"/>
      <c r="D310" s="49"/>
      <c r="E310" s="49"/>
    </row>
    <row r="311" spans="2:5">
      <c r="B311" s="49"/>
      <c r="D311" s="49"/>
      <c r="E311" s="49"/>
    </row>
    <row r="312" spans="2:5">
      <c r="B312" s="49"/>
      <c r="D312" s="49"/>
      <c r="E312" s="49"/>
    </row>
    <row r="313" spans="2:5">
      <c r="B313" s="49"/>
      <c r="D313" s="49"/>
      <c r="E313" s="49"/>
    </row>
    <row r="314" spans="2:5">
      <c r="B314" s="49"/>
      <c r="D314" s="49"/>
      <c r="E314" s="49"/>
    </row>
    <row r="315" spans="2:5">
      <c r="B315" s="49"/>
      <c r="D315" s="49"/>
      <c r="E315" s="49"/>
    </row>
    <row r="316" spans="2:5">
      <c r="B316" s="49"/>
      <c r="D316" s="49"/>
      <c r="E316" s="49"/>
    </row>
    <row r="317" spans="2:5">
      <c r="B317" s="49"/>
      <c r="D317" s="49"/>
      <c r="E317" s="49"/>
    </row>
    <row r="318" spans="2:5">
      <c r="B318" s="49"/>
      <c r="D318" s="49"/>
      <c r="E318" s="49"/>
    </row>
    <row r="319" spans="2:5">
      <c r="B319" s="49"/>
      <c r="D319" s="49"/>
      <c r="E319" s="49"/>
    </row>
    <row r="320" spans="2:5">
      <c r="B320" s="49"/>
      <c r="D320" s="49"/>
      <c r="E320" s="49"/>
    </row>
    <row r="321" spans="2:5">
      <c r="B321" s="49"/>
      <c r="D321" s="49"/>
      <c r="E321" s="49"/>
    </row>
    <row r="322" spans="2:5">
      <c r="B322" s="49"/>
      <c r="D322" s="49"/>
      <c r="E322" s="49"/>
    </row>
    <row r="323" spans="2:5">
      <c r="B323" s="49"/>
      <c r="D323" s="49"/>
      <c r="E323" s="49"/>
    </row>
    <row r="324" spans="2:5">
      <c r="B324" s="49"/>
      <c r="D324" s="49"/>
      <c r="E324" s="49"/>
    </row>
    <row r="325" spans="2:5">
      <c r="B325" s="49"/>
      <c r="D325" s="49"/>
      <c r="E325" s="49"/>
    </row>
    <row r="326" spans="2:5">
      <c r="B326" s="49"/>
      <c r="D326" s="49"/>
      <c r="E326" s="49"/>
    </row>
    <row r="327" spans="2:5">
      <c r="B327" s="49"/>
      <c r="D327" s="49"/>
      <c r="E327" s="49"/>
    </row>
    <row r="328" spans="2:5">
      <c r="B328" s="49"/>
      <c r="D328" s="49"/>
      <c r="E328" s="49"/>
    </row>
    <row r="329" spans="2:5">
      <c r="B329" s="49"/>
      <c r="D329" s="49"/>
      <c r="E329" s="49"/>
    </row>
    <row r="330" spans="2:5">
      <c r="B330" s="49"/>
      <c r="D330" s="49"/>
      <c r="E330" s="49"/>
    </row>
    <row r="331" spans="2:5">
      <c r="B331" s="49"/>
      <c r="D331" s="49"/>
      <c r="E331" s="49"/>
    </row>
    <row r="332" spans="2:5">
      <c r="B332" s="49"/>
      <c r="D332" s="49"/>
      <c r="E332" s="49"/>
    </row>
    <row r="333" spans="2:5">
      <c r="B333" s="49"/>
      <c r="D333" s="49"/>
      <c r="E333" s="49"/>
    </row>
    <row r="334" spans="2:5">
      <c r="B334" s="49"/>
      <c r="D334" s="49"/>
      <c r="E334" s="49"/>
    </row>
    <row r="335" spans="2:5">
      <c r="B335" s="49"/>
      <c r="D335" s="49"/>
      <c r="E335" s="49"/>
    </row>
    <row r="336" spans="2:5">
      <c r="B336" s="49"/>
      <c r="D336" s="49"/>
      <c r="E336" s="49"/>
    </row>
    <row r="337" spans="2:5">
      <c r="B337" s="49"/>
      <c r="D337" s="49"/>
      <c r="E337" s="49"/>
    </row>
    <row r="338" spans="2:5">
      <c r="B338" s="49"/>
      <c r="D338" s="49"/>
      <c r="E338" s="49"/>
    </row>
    <row r="339" spans="2:5">
      <c r="B339" s="49"/>
      <c r="D339" s="49"/>
      <c r="E339" s="49"/>
    </row>
    <row r="340" spans="2:5">
      <c r="B340" s="49"/>
      <c r="D340" s="49"/>
      <c r="E340" s="49"/>
    </row>
    <row r="341" spans="2:5">
      <c r="B341" s="49"/>
      <c r="D341" s="49"/>
      <c r="E341" s="49"/>
    </row>
    <row r="342" spans="2:5">
      <c r="B342" s="49"/>
      <c r="D342" s="49"/>
      <c r="E342" s="49"/>
    </row>
    <row r="343" spans="2:5">
      <c r="B343" s="49"/>
      <c r="D343" s="49"/>
      <c r="E343" s="49"/>
    </row>
    <row r="344" spans="2:5">
      <c r="B344" s="49"/>
      <c r="D344" s="49"/>
      <c r="E344" s="49"/>
    </row>
    <row r="345" spans="2:5">
      <c r="B345" s="49"/>
      <c r="D345" s="49"/>
      <c r="E345" s="49"/>
    </row>
    <row r="346" spans="2:5">
      <c r="B346" s="49"/>
      <c r="D346" s="49"/>
      <c r="E346" s="49"/>
    </row>
    <row r="347" spans="2:5">
      <c r="B347" s="49"/>
      <c r="D347" s="49"/>
      <c r="E347" s="49"/>
    </row>
    <row r="348" spans="2:5">
      <c r="B348" s="49"/>
      <c r="D348" s="49"/>
      <c r="E348" s="49"/>
    </row>
    <row r="349" spans="2:5">
      <c r="B349" s="49"/>
      <c r="D349" s="49"/>
      <c r="E349" s="49"/>
    </row>
    <row r="350" spans="2:5">
      <c r="B350" s="49"/>
      <c r="D350" s="49"/>
      <c r="E350" s="49"/>
    </row>
    <row r="351" spans="2:5">
      <c r="B351" s="49"/>
      <c r="D351" s="49"/>
      <c r="E351" s="49"/>
    </row>
    <row r="352" spans="2:5">
      <c r="B352" s="49"/>
      <c r="D352" s="49"/>
      <c r="E352" s="49"/>
    </row>
    <row r="353" spans="2:5">
      <c r="B353" s="49"/>
      <c r="D353" s="49"/>
      <c r="E353" s="49"/>
    </row>
    <row r="354" spans="2:5">
      <c r="B354" s="49"/>
      <c r="D354" s="49"/>
      <c r="E354" s="49"/>
    </row>
    <row r="355" spans="2:5">
      <c r="B355" s="49"/>
      <c r="D355" s="49"/>
      <c r="E355" s="49"/>
    </row>
    <row r="356" spans="2:5">
      <c r="B356" s="49"/>
      <c r="D356" s="49"/>
      <c r="E356" s="49"/>
    </row>
    <row r="357" spans="2:5">
      <c r="B357" s="49"/>
      <c r="D357" s="49"/>
      <c r="E357" s="49"/>
    </row>
    <row r="358" spans="2:5">
      <c r="B358" s="49"/>
      <c r="D358" s="49"/>
      <c r="E358" s="49"/>
    </row>
    <row r="359" spans="2:5">
      <c r="B359" s="49"/>
      <c r="D359" s="49"/>
      <c r="E359" s="49"/>
    </row>
    <row r="360" spans="2:5">
      <c r="B360" s="49"/>
      <c r="D360" s="49"/>
      <c r="E360" s="49"/>
    </row>
    <row r="361" spans="2:5">
      <c r="B361" s="49"/>
      <c r="D361" s="49"/>
      <c r="E361" s="49"/>
    </row>
    <row r="362" spans="2:5">
      <c r="B362" s="49"/>
      <c r="D362" s="49"/>
      <c r="E362" s="49"/>
    </row>
    <row r="363" spans="2:5">
      <c r="B363" s="49"/>
      <c r="D363" s="49"/>
      <c r="E363" s="49"/>
    </row>
    <row r="364" spans="2:5">
      <c r="B364" s="49"/>
      <c r="D364" s="49"/>
      <c r="E364" s="49"/>
    </row>
    <row r="365" spans="2:5">
      <c r="B365" s="49"/>
      <c r="D365" s="49"/>
      <c r="E365" s="49"/>
    </row>
    <row r="366" spans="2:5">
      <c r="B366" s="49"/>
      <c r="D366" s="49"/>
      <c r="E366" s="49"/>
    </row>
    <row r="367" spans="2:5">
      <c r="B367" s="49"/>
      <c r="D367" s="49"/>
      <c r="E367" s="49"/>
    </row>
    <row r="368" spans="2:5">
      <c r="B368" s="49"/>
      <c r="D368" s="49"/>
      <c r="E368" s="49"/>
    </row>
    <row r="369" spans="2:5">
      <c r="B369" s="49"/>
      <c r="D369" s="49"/>
      <c r="E369" s="49"/>
    </row>
    <row r="370" spans="2:5">
      <c r="B370" s="49"/>
      <c r="D370" s="49"/>
      <c r="E370" s="49"/>
    </row>
    <row r="371" spans="2:5">
      <c r="B371" s="49"/>
      <c r="D371" s="49"/>
      <c r="E371" s="49"/>
    </row>
    <row r="372" spans="2:5">
      <c r="B372" s="49"/>
      <c r="D372" s="49"/>
      <c r="E372" s="49"/>
    </row>
    <row r="373" spans="2:5">
      <c r="B373" s="49"/>
      <c r="D373" s="49"/>
      <c r="E373" s="49"/>
    </row>
    <row r="374" spans="2:5">
      <c r="B374" s="49"/>
      <c r="D374" s="49"/>
      <c r="E374" s="49"/>
    </row>
    <row r="375" spans="2:5">
      <c r="B375" s="49"/>
      <c r="D375" s="49"/>
      <c r="E375" s="49"/>
    </row>
    <row r="376" spans="2:5">
      <c r="B376" s="49"/>
      <c r="D376" s="49"/>
      <c r="E376" s="49"/>
    </row>
    <row r="377" spans="2:5">
      <c r="B377" s="49"/>
      <c r="D377" s="49"/>
      <c r="E377" s="49"/>
    </row>
    <row r="378" spans="2:5">
      <c r="B378" s="49"/>
      <c r="D378" s="49"/>
      <c r="E378" s="49"/>
    </row>
    <row r="379" spans="2:5">
      <c r="B379" s="49"/>
      <c r="D379" s="49"/>
      <c r="E379" s="49"/>
    </row>
    <row r="380" spans="2:5">
      <c r="B380" s="49"/>
      <c r="D380" s="49"/>
      <c r="E380" s="49"/>
    </row>
    <row r="381" spans="2:5">
      <c r="B381" s="49"/>
      <c r="D381" s="49"/>
      <c r="E381" s="49"/>
    </row>
    <row r="382" spans="2:5">
      <c r="B382" s="49"/>
      <c r="D382" s="49"/>
      <c r="E382" s="49"/>
    </row>
    <row r="383" spans="2:5">
      <c r="B383" s="49"/>
      <c r="D383" s="49"/>
      <c r="E383" s="49"/>
    </row>
    <row r="384" spans="2:5">
      <c r="B384" s="49"/>
      <c r="D384" s="49"/>
      <c r="E384" s="49"/>
    </row>
    <row r="385" spans="2:5">
      <c r="B385" s="49"/>
      <c r="D385" s="49"/>
      <c r="E385" s="49"/>
    </row>
    <row r="386" spans="2:5">
      <c r="B386" s="49"/>
      <c r="D386" s="49"/>
      <c r="E386" s="49"/>
    </row>
    <row r="387" spans="2:5">
      <c r="B387" s="49"/>
      <c r="D387" s="49"/>
      <c r="E387" s="49"/>
    </row>
    <row r="388" spans="2:5">
      <c r="B388" s="49"/>
      <c r="D388" s="49"/>
      <c r="E388" s="49"/>
    </row>
    <row r="389" spans="2:5">
      <c r="B389" s="49"/>
      <c r="D389" s="49"/>
      <c r="E389" s="49"/>
    </row>
    <row r="390" spans="2:5">
      <c r="B390" s="49"/>
      <c r="D390" s="49"/>
      <c r="E390" s="49"/>
    </row>
    <row r="391" spans="2:5">
      <c r="B391" s="49"/>
      <c r="D391" s="49"/>
      <c r="E391" s="49"/>
    </row>
    <row r="392" spans="2:5">
      <c r="B392" s="49"/>
      <c r="D392" s="49"/>
      <c r="E392" s="49"/>
    </row>
    <row r="393" spans="2:5">
      <c r="B393" s="49"/>
      <c r="D393" s="49"/>
      <c r="E393" s="49"/>
    </row>
    <row r="394" spans="2:5">
      <c r="B394" s="49"/>
      <c r="D394" s="49"/>
      <c r="E394" s="49"/>
    </row>
    <row r="395" spans="2:5">
      <c r="B395" s="49"/>
      <c r="D395" s="49"/>
      <c r="E395" s="49"/>
    </row>
    <row r="396" spans="2:5">
      <c r="B396" s="49"/>
      <c r="D396" s="49"/>
      <c r="E396" s="49"/>
    </row>
    <row r="397" spans="2:5">
      <c r="B397" s="49"/>
      <c r="D397" s="49"/>
      <c r="E397" s="49"/>
    </row>
    <row r="398" spans="2:5">
      <c r="B398" s="49"/>
      <c r="D398" s="49"/>
      <c r="E398" s="49"/>
    </row>
    <row r="399" spans="2:5">
      <c r="B399" s="49"/>
      <c r="D399" s="49"/>
      <c r="E399" s="49"/>
    </row>
    <row r="400" spans="2:5">
      <c r="B400" s="49"/>
      <c r="D400" s="49"/>
      <c r="E400" s="49"/>
    </row>
    <row r="401" spans="2:5">
      <c r="B401" s="49"/>
      <c r="D401" s="49"/>
      <c r="E401" s="49"/>
    </row>
    <row r="402" spans="2:5">
      <c r="B402" s="49"/>
      <c r="D402" s="49"/>
      <c r="E402" s="49"/>
    </row>
    <row r="403" spans="2:5">
      <c r="B403" s="49"/>
      <c r="D403" s="49"/>
      <c r="E403" s="49"/>
    </row>
    <row r="404" spans="2:5">
      <c r="B404" s="49"/>
      <c r="D404" s="49"/>
      <c r="E404" s="49"/>
    </row>
    <row r="405" spans="2:5">
      <c r="B405" s="49"/>
      <c r="D405" s="49"/>
      <c r="E405" s="49"/>
    </row>
    <row r="406" spans="2:5">
      <c r="B406" s="49"/>
      <c r="D406" s="49"/>
      <c r="E406" s="49"/>
    </row>
    <row r="407" spans="2:5">
      <c r="B407" s="49"/>
      <c r="D407" s="49"/>
      <c r="E407" s="49"/>
    </row>
    <row r="408" spans="2:5">
      <c r="B408" s="49"/>
      <c r="D408" s="49"/>
      <c r="E408" s="49"/>
    </row>
    <row r="409" spans="2:5">
      <c r="B409" s="49"/>
      <c r="D409" s="49"/>
      <c r="E409" s="49"/>
    </row>
    <row r="410" spans="2:5">
      <c r="B410" s="49"/>
      <c r="D410" s="49"/>
      <c r="E410" s="49"/>
    </row>
    <row r="411" spans="2:5">
      <c r="B411" s="49"/>
      <c r="D411" s="49"/>
      <c r="E411" s="49"/>
    </row>
    <row r="412" spans="2:5">
      <c r="B412" s="49"/>
      <c r="D412" s="49"/>
      <c r="E412" s="49"/>
    </row>
    <row r="413" spans="2:5">
      <c r="B413" s="49"/>
      <c r="D413" s="49"/>
      <c r="E413" s="49"/>
    </row>
    <row r="414" spans="2:5">
      <c r="B414" s="49"/>
      <c r="D414" s="49"/>
      <c r="E414" s="49"/>
    </row>
    <row r="415" spans="2:5">
      <c r="B415" s="49"/>
      <c r="D415" s="49"/>
      <c r="E415" s="49"/>
    </row>
    <row r="416" spans="2:5">
      <c r="B416" s="49"/>
      <c r="D416" s="49"/>
      <c r="E416" s="49"/>
    </row>
    <row r="417" spans="2:5">
      <c r="B417" s="49"/>
      <c r="D417" s="49"/>
      <c r="E417" s="49"/>
    </row>
    <row r="418" spans="2:5">
      <c r="B418" s="49"/>
      <c r="D418" s="49"/>
      <c r="E418" s="49"/>
    </row>
    <row r="419" spans="2:5">
      <c r="B419" s="49"/>
      <c r="D419" s="49"/>
      <c r="E419" s="49"/>
    </row>
    <row r="420" spans="2:5">
      <c r="B420" s="49"/>
      <c r="D420" s="49"/>
      <c r="E420" s="49"/>
    </row>
    <row r="421" spans="2:5">
      <c r="B421" s="49"/>
      <c r="D421" s="49"/>
      <c r="E421" s="49"/>
    </row>
    <row r="422" spans="2:5">
      <c r="B422" s="49"/>
      <c r="D422" s="49"/>
      <c r="E422" s="49"/>
    </row>
    <row r="423" spans="2:5">
      <c r="B423" s="49"/>
      <c r="D423" s="49"/>
      <c r="E423" s="49"/>
    </row>
    <row r="424" spans="2:5">
      <c r="B424" s="49"/>
      <c r="D424" s="49"/>
      <c r="E424" s="49"/>
    </row>
    <row r="425" spans="2:5">
      <c r="B425" s="49"/>
      <c r="D425" s="49"/>
      <c r="E425" s="49"/>
    </row>
    <row r="426" spans="2:5">
      <c r="B426" s="49"/>
      <c r="D426" s="49"/>
      <c r="E426" s="49"/>
    </row>
    <row r="427" spans="2:5">
      <c r="B427" s="49"/>
      <c r="D427" s="49"/>
      <c r="E427" s="49"/>
    </row>
    <row r="428" spans="2:5">
      <c r="B428" s="49"/>
      <c r="D428" s="49"/>
      <c r="E428" s="49"/>
    </row>
    <row r="429" spans="2:5">
      <c r="B429" s="49"/>
      <c r="D429" s="49"/>
      <c r="E429" s="49"/>
    </row>
    <row r="430" spans="2:5">
      <c r="B430" s="49"/>
      <c r="D430" s="49"/>
      <c r="E430" s="49"/>
    </row>
    <row r="431" spans="2:5">
      <c r="B431" s="49"/>
      <c r="D431" s="49"/>
      <c r="E431" s="49"/>
    </row>
    <row r="432" spans="2:5">
      <c r="B432" s="49"/>
      <c r="D432" s="49"/>
      <c r="E432" s="49"/>
    </row>
    <row r="433" spans="2:5">
      <c r="B433" s="49"/>
      <c r="D433" s="49"/>
      <c r="E433" s="49"/>
    </row>
    <row r="434" spans="2:5">
      <c r="B434" s="49"/>
      <c r="D434" s="49"/>
      <c r="E434" s="49"/>
    </row>
    <row r="435" spans="2:5">
      <c r="B435" s="49"/>
      <c r="D435" s="49"/>
      <c r="E435" s="49"/>
    </row>
    <row r="436" spans="2:5">
      <c r="B436" s="49"/>
      <c r="D436" s="49"/>
      <c r="E436" s="49"/>
    </row>
    <row r="437" spans="2:5">
      <c r="B437" s="49"/>
      <c r="D437" s="49"/>
      <c r="E437" s="49"/>
    </row>
    <row r="438" spans="2:5">
      <c r="B438" s="49"/>
      <c r="D438" s="49"/>
      <c r="E438" s="49"/>
    </row>
    <row r="439" spans="2:5">
      <c r="B439" s="49"/>
      <c r="D439" s="49"/>
      <c r="E439" s="49"/>
    </row>
    <row r="440" spans="2:5">
      <c r="B440" s="49"/>
      <c r="D440" s="49"/>
      <c r="E440" s="49"/>
    </row>
    <row r="441" spans="2:5">
      <c r="B441" s="49"/>
      <c r="D441" s="49"/>
      <c r="E441" s="49"/>
    </row>
    <row r="442" spans="2:5">
      <c r="B442" s="49"/>
      <c r="D442" s="49"/>
      <c r="E442" s="49"/>
    </row>
    <row r="443" spans="2:5">
      <c r="B443" s="49"/>
      <c r="D443" s="49"/>
      <c r="E443" s="49"/>
    </row>
    <row r="444" spans="2:5">
      <c r="B444" s="49"/>
      <c r="D444" s="49"/>
      <c r="E444" s="49"/>
    </row>
    <row r="445" spans="2:5">
      <c r="B445" s="49"/>
      <c r="D445" s="49"/>
      <c r="E445" s="49"/>
    </row>
    <row r="446" spans="2:5">
      <c r="B446" s="49"/>
      <c r="D446" s="49"/>
      <c r="E446" s="49"/>
    </row>
    <row r="447" spans="2:5">
      <c r="B447" s="49"/>
      <c r="D447" s="49"/>
      <c r="E447" s="49"/>
    </row>
    <row r="448" spans="2:5">
      <c r="B448" s="49"/>
      <c r="D448" s="49"/>
      <c r="E448" s="49"/>
    </row>
    <row r="449" spans="2:5">
      <c r="B449" s="49"/>
      <c r="D449" s="49"/>
      <c r="E449" s="49"/>
    </row>
    <row r="450" spans="2:5">
      <c r="B450" s="49"/>
      <c r="D450" s="49"/>
      <c r="E450" s="49"/>
    </row>
    <row r="451" spans="2:5">
      <c r="B451" s="49"/>
      <c r="D451" s="49"/>
      <c r="E451" s="49"/>
    </row>
    <row r="452" spans="2:5">
      <c r="B452" s="49"/>
      <c r="D452" s="49"/>
      <c r="E452" s="49"/>
    </row>
    <row r="453" spans="2:5">
      <c r="B453" s="49"/>
      <c r="D453" s="49"/>
      <c r="E453" s="49"/>
    </row>
    <row r="454" spans="2:5">
      <c r="B454" s="49"/>
      <c r="D454" s="49"/>
      <c r="E454" s="49"/>
    </row>
    <row r="455" spans="2:5">
      <c r="B455" s="49"/>
      <c r="D455" s="49"/>
      <c r="E455" s="49"/>
    </row>
    <row r="456" spans="2:5">
      <c r="B456" s="49"/>
      <c r="D456" s="49"/>
      <c r="E456" s="49"/>
    </row>
    <row r="457" spans="2:5">
      <c r="B457" s="49"/>
      <c r="D457" s="49"/>
      <c r="E457" s="49"/>
    </row>
    <row r="458" spans="2:5">
      <c r="B458" s="49"/>
      <c r="D458" s="49"/>
      <c r="E458" s="49"/>
    </row>
    <row r="459" spans="2:5">
      <c r="B459" s="49"/>
      <c r="D459" s="49"/>
      <c r="E459" s="49"/>
    </row>
    <row r="460" spans="2:5">
      <c r="B460" s="49"/>
      <c r="D460" s="49"/>
      <c r="E460" s="49"/>
    </row>
    <row r="461" spans="2:5">
      <c r="B461" s="49"/>
      <c r="D461" s="49"/>
      <c r="E461" s="49"/>
    </row>
    <row r="462" spans="2:5">
      <c r="B462" s="49"/>
      <c r="D462" s="49"/>
      <c r="E462" s="49"/>
    </row>
    <row r="463" spans="2:5">
      <c r="B463" s="49"/>
      <c r="D463" s="49"/>
      <c r="E463" s="49"/>
    </row>
    <row r="464" spans="2:5">
      <c r="B464" s="49"/>
      <c r="D464" s="49"/>
      <c r="E464" s="49"/>
    </row>
    <row r="465" spans="2:5">
      <c r="B465" s="49"/>
      <c r="D465" s="49"/>
      <c r="E465" s="49"/>
    </row>
    <row r="466" spans="2:5">
      <c r="B466" s="49"/>
      <c r="D466" s="49"/>
      <c r="E466" s="49"/>
    </row>
    <row r="467" spans="2:5">
      <c r="B467" s="49"/>
      <c r="D467" s="49"/>
      <c r="E467" s="49"/>
    </row>
    <row r="468" spans="2:5">
      <c r="B468" s="49"/>
      <c r="D468" s="49"/>
      <c r="E468" s="49"/>
    </row>
    <row r="469" spans="2:5">
      <c r="B469" s="49"/>
      <c r="D469" s="49"/>
      <c r="E469" s="49"/>
    </row>
    <row r="470" spans="2:5">
      <c r="B470" s="49"/>
      <c r="D470" s="49"/>
      <c r="E470" s="49"/>
    </row>
    <row r="471" spans="2:5">
      <c r="B471" s="49"/>
      <c r="D471" s="49"/>
      <c r="E471" s="49"/>
    </row>
    <row r="472" spans="2:5">
      <c r="B472" s="49"/>
      <c r="D472" s="49"/>
      <c r="E472" s="49"/>
    </row>
    <row r="473" spans="2:5">
      <c r="B473" s="49"/>
      <c r="D473" s="49"/>
      <c r="E473" s="49"/>
    </row>
    <row r="474" spans="2:5">
      <c r="B474" s="49"/>
      <c r="D474" s="49"/>
      <c r="E474" s="49"/>
    </row>
    <row r="475" spans="2:5">
      <c r="B475" s="49"/>
      <c r="D475" s="49"/>
      <c r="E475" s="49"/>
    </row>
    <row r="476" spans="2:5">
      <c r="B476" s="49"/>
      <c r="D476" s="49"/>
      <c r="E476" s="49"/>
    </row>
    <row r="477" spans="2:5">
      <c r="B477" s="49"/>
      <c r="D477" s="49"/>
      <c r="E477" s="49"/>
    </row>
    <row r="478" spans="2:5">
      <c r="B478" s="49"/>
      <c r="D478" s="49"/>
      <c r="E478" s="49"/>
    </row>
    <row r="479" spans="2:5">
      <c r="B479" s="49"/>
      <c r="D479" s="49"/>
      <c r="E479" s="49"/>
    </row>
    <row r="480" spans="2:5">
      <c r="B480" s="49"/>
      <c r="D480" s="49"/>
      <c r="E480" s="49"/>
    </row>
    <row r="481" spans="2:5">
      <c r="B481" s="49"/>
      <c r="D481" s="49"/>
      <c r="E481" s="49"/>
    </row>
    <row r="482" spans="2:5">
      <c r="B482" s="49"/>
      <c r="D482" s="49"/>
      <c r="E482" s="49"/>
    </row>
    <row r="483" spans="2:5">
      <c r="B483" s="49"/>
      <c r="D483" s="49"/>
      <c r="E483" s="49"/>
    </row>
    <row r="484" spans="2:5">
      <c r="B484" s="49"/>
      <c r="D484" s="49"/>
      <c r="E484" s="49"/>
    </row>
    <row r="485" spans="2:5">
      <c r="B485" s="49"/>
      <c r="D485" s="49"/>
      <c r="E485" s="49"/>
    </row>
    <row r="486" spans="2:5">
      <c r="B486" s="49"/>
      <c r="D486" s="49"/>
      <c r="E486" s="49"/>
    </row>
    <row r="487" spans="2:5">
      <c r="B487" s="49"/>
      <c r="D487" s="49"/>
      <c r="E487" s="49"/>
    </row>
    <row r="488" spans="2:5">
      <c r="B488" s="49"/>
      <c r="D488" s="49"/>
      <c r="E488" s="49"/>
    </row>
    <row r="489" spans="2:5">
      <c r="B489" s="49"/>
      <c r="D489" s="49"/>
      <c r="E489" s="49"/>
    </row>
    <row r="490" spans="2:5">
      <c r="B490" s="49"/>
      <c r="D490" s="49"/>
      <c r="E490" s="49"/>
    </row>
    <row r="491" spans="2:5">
      <c r="B491" s="49"/>
      <c r="D491" s="49"/>
      <c r="E491" s="49"/>
    </row>
    <row r="492" spans="2:5">
      <c r="B492" s="49"/>
      <c r="D492" s="49"/>
      <c r="E492" s="49"/>
    </row>
    <row r="493" spans="2:5">
      <c r="B493" s="49"/>
      <c r="D493" s="49"/>
      <c r="E493" s="49"/>
    </row>
    <row r="494" spans="2:5">
      <c r="B494" s="49"/>
      <c r="D494" s="49"/>
      <c r="E494" s="49"/>
    </row>
    <row r="495" spans="2:5">
      <c r="B495" s="49"/>
      <c r="D495" s="49"/>
      <c r="E495" s="49"/>
    </row>
    <row r="496" spans="2:5">
      <c r="B496" s="49"/>
      <c r="D496" s="49"/>
      <c r="E496" s="49"/>
    </row>
    <row r="497" spans="2:5">
      <c r="B497" s="49"/>
      <c r="D497" s="49"/>
      <c r="E497" s="49"/>
    </row>
    <row r="498" spans="2:5">
      <c r="B498" s="49"/>
      <c r="D498" s="49"/>
      <c r="E498" s="49"/>
    </row>
    <row r="499" spans="2:5">
      <c r="B499" s="49"/>
      <c r="D499" s="49"/>
      <c r="E499" s="49"/>
    </row>
    <row r="500" spans="2:5">
      <c r="B500" s="49"/>
      <c r="D500" s="49"/>
      <c r="E500" s="49"/>
    </row>
    <row r="501" spans="2:5">
      <c r="B501" s="49"/>
      <c r="D501" s="49"/>
      <c r="E501" s="49"/>
    </row>
    <row r="502" spans="2:5">
      <c r="B502" s="49"/>
      <c r="D502" s="49"/>
      <c r="E502" s="49"/>
    </row>
    <row r="503" spans="2:5">
      <c r="B503" s="49"/>
      <c r="D503" s="49"/>
      <c r="E503" s="49"/>
    </row>
    <row r="504" spans="2:5">
      <c r="B504" s="49"/>
      <c r="D504" s="49"/>
      <c r="E504" s="49"/>
    </row>
    <row r="505" spans="2:5">
      <c r="B505" s="49"/>
      <c r="D505" s="49"/>
      <c r="E505" s="49"/>
    </row>
    <row r="506" spans="2:5">
      <c r="B506" s="49"/>
      <c r="D506" s="49"/>
      <c r="E506" s="49"/>
    </row>
    <row r="507" spans="2:5">
      <c r="B507" s="49"/>
      <c r="D507" s="49"/>
      <c r="E507" s="49"/>
    </row>
    <row r="508" spans="2:5">
      <c r="B508" s="49"/>
      <c r="D508" s="49"/>
      <c r="E508" s="49"/>
    </row>
    <row r="509" spans="2:5">
      <c r="B509" s="49"/>
      <c r="D509" s="49"/>
      <c r="E509" s="49"/>
    </row>
    <row r="510" spans="2:5">
      <c r="B510" s="49"/>
      <c r="D510" s="49"/>
      <c r="E510" s="49"/>
    </row>
    <row r="511" spans="2:5">
      <c r="B511" s="49"/>
      <c r="D511" s="49"/>
      <c r="E511" s="49"/>
    </row>
    <row r="512" spans="2:5">
      <c r="B512" s="49"/>
      <c r="D512" s="49"/>
      <c r="E512" s="49"/>
    </row>
    <row r="513" spans="2:5">
      <c r="B513" s="49"/>
      <c r="D513" s="49"/>
      <c r="E513" s="49"/>
    </row>
    <row r="514" spans="2:5">
      <c r="B514" s="49"/>
      <c r="D514" s="49"/>
      <c r="E514" s="49"/>
    </row>
    <row r="515" spans="2:5">
      <c r="B515" s="49"/>
      <c r="D515" s="49"/>
      <c r="E515" s="49"/>
    </row>
    <row r="516" spans="2:5">
      <c r="B516" s="49"/>
      <c r="D516" s="49"/>
      <c r="E516" s="49"/>
    </row>
    <row r="517" spans="2:5">
      <c r="B517" s="49"/>
      <c r="D517" s="49"/>
      <c r="E517" s="49"/>
    </row>
    <row r="518" spans="2:5">
      <c r="B518" s="49"/>
      <c r="D518" s="49"/>
      <c r="E518" s="49"/>
    </row>
    <row r="519" spans="2:5">
      <c r="B519" s="49"/>
      <c r="D519" s="49"/>
      <c r="E519" s="49"/>
    </row>
    <row r="520" spans="2:5">
      <c r="B520" s="49"/>
      <c r="D520" s="49"/>
      <c r="E520" s="49"/>
    </row>
    <row r="521" spans="2:5">
      <c r="B521" s="49"/>
      <c r="D521" s="49"/>
      <c r="E521" s="49"/>
    </row>
    <row r="522" spans="2:5">
      <c r="B522" s="49"/>
      <c r="D522" s="49"/>
      <c r="E522" s="49"/>
    </row>
    <row r="523" spans="2:5">
      <c r="B523" s="49"/>
      <c r="D523" s="49"/>
      <c r="E523" s="49"/>
    </row>
    <row r="524" spans="2:5">
      <c r="B524" s="49"/>
      <c r="D524" s="49"/>
      <c r="E524" s="49"/>
    </row>
    <row r="525" spans="2:5">
      <c r="B525" s="49"/>
      <c r="D525" s="49"/>
      <c r="E525" s="49"/>
    </row>
    <row r="526" spans="2:5">
      <c r="B526" s="49"/>
      <c r="D526" s="49"/>
      <c r="E526" s="49"/>
    </row>
    <row r="527" spans="2:5">
      <c r="B527" s="49"/>
      <c r="D527" s="49"/>
      <c r="E527" s="49"/>
    </row>
    <row r="528" spans="2:5">
      <c r="B528" s="49"/>
      <c r="D528" s="49"/>
      <c r="E528" s="49"/>
    </row>
    <row r="529" spans="2:5">
      <c r="B529" s="49"/>
      <c r="D529" s="49"/>
      <c r="E529" s="49"/>
    </row>
    <row r="530" spans="2:5">
      <c r="B530" s="49"/>
      <c r="D530" s="49"/>
      <c r="E530" s="49"/>
    </row>
    <row r="531" spans="2:5">
      <c r="B531" s="49"/>
      <c r="D531" s="49"/>
      <c r="E531" s="49"/>
    </row>
    <row r="532" spans="2:5">
      <c r="B532" s="49"/>
      <c r="D532" s="49"/>
      <c r="E532" s="49"/>
    </row>
    <row r="533" spans="2:5">
      <c r="B533" s="49"/>
      <c r="D533" s="49"/>
      <c r="E533" s="49"/>
    </row>
    <row r="534" spans="2:5">
      <c r="B534" s="49"/>
      <c r="D534" s="49"/>
      <c r="E534" s="49"/>
    </row>
    <row r="535" spans="2:5">
      <c r="B535" s="49"/>
      <c r="D535" s="49"/>
      <c r="E535" s="49"/>
    </row>
    <row r="536" spans="2:5">
      <c r="B536" s="49"/>
      <c r="D536" s="49"/>
      <c r="E536" s="49"/>
    </row>
    <row r="537" spans="2:5">
      <c r="B537" s="49"/>
      <c r="D537" s="49"/>
      <c r="E537" s="49"/>
    </row>
    <row r="538" spans="2:5">
      <c r="B538" s="49"/>
      <c r="D538" s="49"/>
      <c r="E538" s="49"/>
    </row>
    <row r="539" spans="2:5">
      <c r="B539" s="49"/>
      <c r="D539" s="49"/>
      <c r="E539" s="49"/>
    </row>
    <row r="540" spans="2:5">
      <c r="B540" s="49"/>
      <c r="D540" s="49"/>
      <c r="E540" s="49"/>
    </row>
    <row r="541" spans="2:5">
      <c r="B541" s="49"/>
      <c r="D541" s="49"/>
      <c r="E541" s="49"/>
    </row>
    <row r="542" spans="2:5">
      <c r="B542" s="49"/>
      <c r="D542" s="49"/>
      <c r="E542" s="49"/>
    </row>
    <row r="543" spans="2:5">
      <c r="B543" s="49"/>
      <c r="D543" s="49"/>
      <c r="E543" s="49"/>
    </row>
    <row r="544" spans="2:5">
      <c r="B544" s="49"/>
      <c r="D544" s="49"/>
      <c r="E544" s="49"/>
    </row>
    <row r="545" spans="2:5">
      <c r="B545" s="49"/>
      <c r="D545" s="49"/>
      <c r="E545" s="49"/>
    </row>
    <row r="546" spans="2:5">
      <c r="B546" s="49"/>
      <c r="D546" s="49"/>
      <c r="E546" s="49"/>
    </row>
    <row r="547" spans="2:5">
      <c r="B547" s="49"/>
      <c r="D547" s="49"/>
      <c r="E547" s="49"/>
    </row>
    <row r="548" spans="2:5">
      <c r="B548" s="49"/>
      <c r="D548" s="49"/>
      <c r="E548" s="49"/>
    </row>
    <row r="549" spans="2:5">
      <c r="B549" s="49"/>
      <c r="D549" s="49"/>
      <c r="E549" s="49"/>
    </row>
    <row r="550" spans="2:5">
      <c r="B550" s="49"/>
      <c r="D550" s="49"/>
      <c r="E550" s="49"/>
    </row>
    <row r="551" spans="2:5">
      <c r="B551" s="49"/>
      <c r="D551" s="49"/>
      <c r="E551" s="49"/>
    </row>
    <row r="552" spans="2:5">
      <c r="B552" s="49"/>
      <c r="D552" s="49"/>
      <c r="E552" s="49"/>
    </row>
    <row r="553" spans="2:5">
      <c r="B553" s="49"/>
      <c r="D553" s="49"/>
      <c r="E553" s="49"/>
    </row>
    <row r="554" spans="2:5">
      <c r="B554" s="49"/>
      <c r="D554" s="49"/>
      <c r="E554" s="49"/>
    </row>
    <row r="555" spans="2:5">
      <c r="B555" s="49"/>
      <c r="D555" s="49"/>
      <c r="E555" s="49"/>
    </row>
    <row r="556" spans="2:5">
      <c r="B556" s="49"/>
      <c r="D556" s="49"/>
      <c r="E556" s="49"/>
    </row>
    <row r="557" spans="2:5">
      <c r="B557" s="49"/>
      <c r="D557" s="49"/>
      <c r="E557" s="49"/>
    </row>
    <row r="558" spans="2:5">
      <c r="B558" s="49"/>
      <c r="D558" s="49"/>
      <c r="E558" s="49"/>
    </row>
    <row r="559" spans="2:5">
      <c r="B559" s="49"/>
      <c r="D559" s="49"/>
      <c r="E559" s="49"/>
    </row>
    <row r="560" spans="2:5">
      <c r="B560" s="49"/>
      <c r="D560" s="49"/>
      <c r="E560" s="49"/>
    </row>
    <row r="561" spans="2:5">
      <c r="B561" s="49"/>
      <c r="D561" s="49"/>
      <c r="E561" s="49"/>
    </row>
    <row r="562" spans="2:5">
      <c r="B562" s="49"/>
      <c r="D562" s="49"/>
      <c r="E562" s="49"/>
    </row>
    <row r="563" spans="2:5">
      <c r="B563" s="49"/>
      <c r="D563" s="49"/>
      <c r="E563" s="49"/>
    </row>
    <row r="564" spans="2:5">
      <c r="B564" s="49"/>
      <c r="D564" s="49"/>
      <c r="E564" s="49"/>
    </row>
    <row r="565" spans="2:5">
      <c r="B565" s="49"/>
      <c r="D565" s="49"/>
      <c r="E565" s="49"/>
    </row>
    <row r="566" spans="2:5">
      <c r="B566" s="49"/>
      <c r="D566" s="49"/>
      <c r="E566" s="49"/>
    </row>
    <row r="567" spans="2:5">
      <c r="B567" s="49"/>
      <c r="D567" s="49"/>
      <c r="E567" s="49"/>
    </row>
    <row r="568" spans="2:5">
      <c r="B568" s="49"/>
      <c r="D568" s="49"/>
      <c r="E568" s="49"/>
    </row>
    <row r="569" spans="2:5">
      <c r="B569" s="49"/>
      <c r="D569" s="49"/>
      <c r="E569" s="49"/>
    </row>
    <row r="570" spans="2:5">
      <c r="B570" s="49"/>
      <c r="D570" s="49"/>
      <c r="E570" s="49"/>
    </row>
    <row r="571" spans="2:5">
      <c r="B571" s="49"/>
      <c r="D571" s="49"/>
      <c r="E571" s="49"/>
    </row>
    <row r="572" spans="2:5">
      <c r="B572" s="49"/>
      <c r="D572" s="49"/>
      <c r="E572" s="49"/>
    </row>
    <row r="573" spans="2:5">
      <c r="B573" s="49"/>
      <c r="D573" s="49"/>
      <c r="E573" s="49"/>
    </row>
    <row r="574" spans="2:5">
      <c r="B574" s="49"/>
      <c r="D574" s="49"/>
      <c r="E574" s="49"/>
    </row>
    <row r="575" spans="2:5">
      <c r="B575" s="49"/>
      <c r="D575" s="49"/>
      <c r="E575" s="49"/>
    </row>
    <row r="576" spans="2:5">
      <c r="B576" s="49"/>
      <c r="D576" s="49"/>
      <c r="E576" s="49"/>
    </row>
    <row r="577" spans="2:5">
      <c r="B577" s="49"/>
      <c r="D577" s="49"/>
      <c r="E577" s="49"/>
    </row>
    <row r="578" spans="2:5">
      <c r="B578" s="49"/>
      <c r="D578" s="49"/>
      <c r="E578" s="49"/>
    </row>
    <row r="579" spans="2:5">
      <c r="B579" s="49"/>
      <c r="D579" s="49"/>
      <c r="E579" s="49"/>
    </row>
    <row r="580" spans="2:5">
      <c r="B580" s="49"/>
      <c r="D580" s="49"/>
      <c r="E580" s="49"/>
    </row>
    <row r="581" spans="2:5">
      <c r="B581" s="49"/>
      <c r="D581" s="49"/>
      <c r="E581" s="49"/>
    </row>
    <row r="582" spans="2:5">
      <c r="B582" s="49"/>
      <c r="D582" s="49"/>
      <c r="E582" s="49"/>
    </row>
    <row r="583" spans="2:5">
      <c r="B583" s="49"/>
      <c r="D583" s="49"/>
      <c r="E583" s="49"/>
    </row>
    <row r="584" spans="2:5">
      <c r="B584" s="49"/>
      <c r="D584" s="49"/>
      <c r="E584" s="49"/>
    </row>
    <row r="585" spans="2:5">
      <c r="B585" s="49"/>
      <c r="D585" s="49"/>
      <c r="E585" s="49"/>
    </row>
    <row r="586" spans="2:5">
      <c r="B586" s="49"/>
      <c r="D586" s="49"/>
      <c r="E586" s="49"/>
    </row>
    <row r="587" spans="2:5">
      <c r="B587" s="49"/>
      <c r="D587" s="49"/>
      <c r="E587" s="49"/>
    </row>
    <row r="588" spans="2:5">
      <c r="B588" s="49"/>
      <c r="D588" s="49"/>
      <c r="E588" s="49"/>
    </row>
    <row r="589" spans="2:5">
      <c r="B589" s="49"/>
      <c r="D589" s="49"/>
      <c r="E589" s="49"/>
    </row>
    <row r="590" spans="2:5">
      <c r="B590" s="49"/>
      <c r="D590" s="49"/>
      <c r="E590" s="49"/>
    </row>
    <row r="591" spans="2:5">
      <c r="B591" s="49"/>
      <c r="D591" s="49"/>
      <c r="E591" s="49"/>
    </row>
    <row r="592" spans="2:5">
      <c r="B592" s="49"/>
      <c r="D592" s="49"/>
      <c r="E592" s="49"/>
    </row>
    <row r="593" spans="2:5">
      <c r="B593" s="49"/>
      <c r="D593" s="49"/>
      <c r="E593" s="49"/>
    </row>
    <row r="594" spans="2:5">
      <c r="B594" s="49"/>
      <c r="D594" s="49"/>
      <c r="E594" s="49"/>
    </row>
    <row r="595" spans="2:5">
      <c r="B595" s="49"/>
      <c r="D595" s="49"/>
      <c r="E595" s="49"/>
    </row>
    <row r="596" spans="2:5">
      <c r="B596" s="49"/>
      <c r="D596" s="49"/>
      <c r="E596" s="49"/>
    </row>
    <row r="597" spans="2:5">
      <c r="B597" s="49"/>
      <c r="D597" s="49"/>
      <c r="E597" s="49"/>
    </row>
    <row r="598" spans="2:5">
      <c r="B598" s="49"/>
      <c r="D598" s="49"/>
      <c r="E598" s="49"/>
    </row>
    <row r="599" spans="2:5">
      <c r="B599" s="49"/>
      <c r="D599" s="49"/>
      <c r="E599" s="49"/>
    </row>
    <row r="600" spans="2:5">
      <c r="B600" s="49"/>
      <c r="D600" s="49"/>
      <c r="E600" s="49"/>
    </row>
    <row r="601" spans="2:5">
      <c r="B601" s="49"/>
      <c r="D601" s="49"/>
      <c r="E601" s="49"/>
    </row>
    <row r="602" spans="2:5">
      <c r="B602" s="49"/>
      <c r="D602" s="49"/>
      <c r="E602" s="49"/>
    </row>
    <row r="603" spans="2:5">
      <c r="B603" s="49"/>
      <c r="D603" s="49"/>
      <c r="E603" s="49"/>
    </row>
    <row r="604" spans="2:5">
      <c r="B604" s="49"/>
      <c r="D604" s="49"/>
      <c r="E604" s="49"/>
    </row>
    <row r="605" spans="2:5">
      <c r="B605" s="49"/>
      <c r="D605" s="49"/>
      <c r="E605" s="49"/>
    </row>
    <row r="606" spans="2:5">
      <c r="B606" s="49"/>
      <c r="D606" s="49"/>
      <c r="E606" s="49"/>
    </row>
    <row r="607" spans="2:5">
      <c r="B607" s="49"/>
      <c r="D607" s="49"/>
      <c r="E607" s="49"/>
    </row>
    <row r="608" spans="2:5">
      <c r="B608" s="49"/>
      <c r="D608" s="49"/>
      <c r="E608" s="49"/>
    </row>
    <row r="609" spans="2:5">
      <c r="B609" s="49"/>
      <c r="D609" s="49"/>
      <c r="E609" s="49"/>
    </row>
    <row r="610" spans="2:5">
      <c r="B610" s="49"/>
      <c r="D610" s="49"/>
      <c r="E610" s="49"/>
    </row>
    <row r="611" spans="2:5">
      <c r="B611" s="49"/>
      <c r="D611" s="49"/>
      <c r="E611" s="49"/>
    </row>
    <row r="612" spans="2:5">
      <c r="B612" s="49"/>
      <c r="D612" s="49"/>
      <c r="E612" s="49"/>
    </row>
    <row r="613" spans="2:5">
      <c r="B613" s="49"/>
      <c r="D613" s="49"/>
      <c r="E613" s="49"/>
    </row>
    <row r="614" spans="2:5">
      <c r="B614" s="49"/>
      <c r="D614" s="49"/>
      <c r="E614" s="49"/>
    </row>
    <row r="615" spans="2:5">
      <c r="B615" s="49"/>
      <c r="D615" s="49"/>
      <c r="E615" s="49"/>
    </row>
    <row r="616" spans="2:5">
      <c r="B616" s="49"/>
      <c r="D616" s="49"/>
      <c r="E616" s="49"/>
    </row>
    <row r="617" spans="2:5">
      <c r="B617" s="49"/>
      <c r="D617" s="49"/>
      <c r="E617" s="49"/>
    </row>
    <row r="618" spans="2:5">
      <c r="B618" s="49"/>
      <c r="D618" s="49"/>
      <c r="E618" s="49"/>
    </row>
    <row r="619" spans="2:5">
      <c r="B619" s="49"/>
      <c r="D619" s="49"/>
      <c r="E619" s="49"/>
    </row>
    <row r="620" spans="2:5">
      <c r="B620" s="49"/>
      <c r="D620" s="49"/>
      <c r="E620" s="49"/>
    </row>
    <row r="621" spans="2:5">
      <c r="B621" s="49"/>
      <c r="D621" s="49"/>
      <c r="E621" s="49"/>
    </row>
    <row r="622" spans="2:5">
      <c r="B622" s="49"/>
      <c r="D622" s="49"/>
      <c r="E622" s="49"/>
    </row>
    <row r="623" spans="2:5">
      <c r="B623" s="49"/>
      <c r="D623" s="49"/>
      <c r="E623" s="49"/>
    </row>
    <row r="624" spans="2:5">
      <c r="B624" s="49"/>
      <c r="D624" s="49"/>
      <c r="E624" s="49"/>
    </row>
    <row r="625" spans="2:5">
      <c r="B625" s="49"/>
      <c r="D625" s="49"/>
      <c r="E625" s="49"/>
    </row>
    <row r="626" spans="2:5">
      <c r="B626" s="49"/>
      <c r="D626" s="49"/>
      <c r="E626" s="49"/>
    </row>
    <row r="627" spans="2:5">
      <c r="B627" s="49"/>
      <c r="D627" s="49"/>
      <c r="E627" s="49"/>
    </row>
    <row r="628" spans="2:5">
      <c r="B628" s="49"/>
      <c r="D628" s="49"/>
      <c r="E628" s="49"/>
    </row>
    <row r="629" spans="2:5">
      <c r="B629" s="49"/>
      <c r="D629" s="49"/>
      <c r="E629" s="49"/>
    </row>
    <row r="630" spans="2:5">
      <c r="B630" s="49"/>
      <c r="D630" s="49"/>
      <c r="E630" s="49"/>
    </row>
    <row r="631" spans="2:5">
      <c r="B631" s="49"/>
      <c r="D631" s="49"/>
      <c r="E631" s="49"/>
    </row>
    <row r="632" spans="2:5">
      <c r="B632" s="49"/>
      <c r="D632" s="49"/>
      <c r="E632" s="49"/>
    </row>
    <row r="633" spans="2:5">
      <c r="B633" s="49"/>
      <c r="D633" s="49"/>
      <c r="E633" s="49"/>
    </row>
    <row r="634" spans="2:5">
      <c r="B634" s="49"/>
      <c r="D634" s="49"/>
      <c r="E634" s="49"/>
    </row>
    <row r="635" spans="2:5">
      <c r="B635" s="49"/>
      <c r="D635" s="49"/>
      <c r="E635" s="49"/>
    </row>
    <row r="636" spans="2:5">
      <c r="B636" s="49"/>
      <c r="D636" s="49"/>
      <c r="E636" s="49"/>
    </row>
    <row r="637" spans="2:5">
      <c r="B637" s="49"/>
      <c r="D637" s="49"/>
      <c r="E637" s="49"/>
    </row>
    <row r="638" spans="2:5">
      <c r="B638" s="49"/>
      <c r="D638" s="49"/>
      <c r="E638" s="49"/>
    </row>
    <row r="639" spans="2:5">
      <c r="B639" s="49"/>
      <c r="D639" s="49"/>
      <c r="E639" s="49"/>
    </row>
    <row r="640" spans="2:5">
      <c r="B640" s="49"/>
      <c r="D640" s="49"/>
      <c r="E640" s="49"/>
    </row>
    <row r="641" spans="2:5">
      <c r="B641" s="49"/>
      <c r="D641" s="49"/>
      <c r="E641" s="49"/>
    </row>
    <row r="642" spans="2:5">
      <c r="B642" s="49"/>
      <c r="D642" s="49"/>
      <c r="E642" s="49"/>
    </row>
    <row r="643" spans="2:5">
      <c r="B643" s="49"/>
      <c r="D643" s="49"/>
      <c r="E643" s="49"/>
    </row>
    <row r="644" spans="2:5">
      <c r="B644" s="49"/>
      <c r="D644" s="49"/>
      <c r="E644" s="49"/>
    </row>
    <row r="645" spans="2:5">
      <c r="B645" s="49"/>
      <c r="D645" s="49"/>
      <c r="E645" s="49"/>
    </row>
    <row r="646" spans="2:5">
      <c r="B646" s="49"/>
      <c r="D646" s="49"/>
      <c r="E646" s="49"/>
    </row>
    <row r="647" spans="2:5">
      <c r="B647" s="49"/>
      <c r="D647" s="49"/>
      <c r="E647" s="49"/>
    </row>
    <row r="648" spans="2:5">
      <c r="B648" s="49"/>
      <c r="D648" s="49"/>
      <c r="E648" s="49"/>
    </row>
    <row r="649" spans="2:5">
      <c r="B649" s="49"/>
      <c r="D649" s="49"/>
      <c r="E649" s="49"/>
    </row>
    <row r="650" spans="2:5">
      <c r="B650" s="49"/>
      <c r="D650" s="49"/>
      <c r="E650" s="49"/>
    </row>
    <row r="651" spans="2:5">
      <c r="B651" s="49"/>
      <c r="D651" s="49"/>
      <c r="E651" s="49"/>
    </row>
    <row r="652" spans="2:5">
      <c r="B652" s="49"/>
      <c r="D652" s="49"/>
      <c r="E652" s="49"/>
    </row>
    <row r="653" spans="2:5">
      <c r="B653" s="49"/>
      <c r="D653" s="49"/>
      <c r="E653" s="49"/>
    </row>
    <row r="654" spans="2:5">
      <c r="B654" s="49"/>
      <c r="D654" s="49"/>
      <c r="E654" s="49"/>
    </row>
    <row r="655" spans="2:5">
      <c r="B655" s="49"/>
      <c r="D655" s="49"/>
      <c r="E655" s="49"/>
    </row>
    <row r="656" spans="2:5">
      <c r="B656" s="49"/>
      <c r="D656" s="49"/>
      <c r="E656" s="49"/>
    </row>
    <row r="657" spans="2:5">
      <c r="B657" s="49"/>
      <c r="D657" s="49"/>
      <c r="E657" s="49"/>
    </row>
    <row r="658" spans="2:5">
      <c r="B658" s="49"/>
      <c r="D658" s="49"/>
      <c r="E658" s="49"/>
    </row>
    <row r="659" spans="2:5">
      <c r="B659" s="49"/>
      <c r="D659" s="49"/>
      <c r="E659" s="49"/>
    </row>
    <row r="660" spans="2:5">
      <c r="B660" s="49"/>
      <c r="D660" s="49"/>
      <c r="E660" s="49"/>
    </row>
    <row r="661" spans="2:5">
      <c r="B661" s="49"/>
      <c r="D661" s="49"/>
      <c r="E661" s="49"/>
    </row>
    <row r="662" spans="2:5">
      <c r="B662" s="49"/>
      <c r="D662" s="49"/>
      <c r="E662" s="49"/>
    </row>
    <row r="663" spans="2:5">
      <c r="B663" s="49"/>
      <c r="D663" s="49"/>
      <c r="E663" s="49"/>
    </row>
    <row r="664" spans="2:5">
      <c r="B664" s="49"/>
      <c r="D664" s="49"/>
      <c r="E664" s="49"/>
    </row>
    <row r="665" spans="2:5">
      <c r="B665" s="49"/>
      <c r="D665" s="49"/>
      <c r="E665" s="49"/>
    </row>
    <row r="666" spans="2:5">
      <c r="B666" s="49"/>
      <c r="D666" s="49"/>
      <c r="E666" s="49"/>
    </row>
    <row r="667" spans="2:5">
      <c r="B667" s="49"/>
      <c r="D667" s="49"/>
      <c r="E667" s="49"/>
    </row>
    <row r="668" spans="2:5">
      <c r="B668" s="49"/>
      <c r="D668" s="49"/>
      <c r="E668" s="49"/>
    </row>
    <row r="669" spans="2:5">
      <c r="B669" s="49"/>
      <c r="D669" s="49"/>
      <c r="E669" s="49"/>
    </row>
    <row r="670" spans="2:5">
      <c r="B670" s="49"/>
      <c r="D670" s="49"/>
      <c r="E670" s="49"/>
    </row>
    <row r="671" spans="2:5">
      <c r="B671" s="49"/>
      <c r="D671" s="49"/>
      <c r="E671" s="49"/>
    </row>
    <row r="672" spans="2:5">
      <c r="B672" s="49"/>
      <c r="D672" s="49"/>
      <c r="E672" s="49"/>
    </row>
    <row r="673" spans="2:5">
      <c r="B673" s="49"/>
      <c r="D673" s="49"/>
      <c r="E673" s="49"/>
    </row>
    <row r="674" spans="2:5">
      <c r="B674" s="49"/>
      <c r="D674" s="49"/>
      <c r="E674" s="49"/>
    </row>
    <row r="675" spans="2:5">
      <c r="B675" s="49"/>
      <c r="D675" s="49"/>
      <c r="E675" s="49"/>
    </row>
    <row r="676" spans="2:5">
      <c r="B676" s="49"/>
      <c r="D676" s="49"/>
      <c r="E676" s="49"/>
    </row>
    <row r="677" spans="2:5">
      <c r="B677" s="49"/>
      <c r="D677" s="49"/>
      <c r="E677" s="49"/>
    </row>
    <row r="678" spans="2:5">
      <c r="B678" s="49"/>
      <c r="D678" s="49"/>
      <c r="E678" s="49"/>
    </row>
    <row r="679" spans="2:5">
      <c r="B679" s="49"/>
      <c r="D679" s="49"/>
      <c r="E679" s="49"/>
    </row>
    <row r="680" spans="2:5">
      <c r="B680" s="49"/>
      <c r="D680" s="49"/>
      <c r="E680" s="49"/>
    </row>
    <row r="681" spans="2:5">
      <c r="B681" s="49"/>
      <c r="D681" s="49"/>
      <c r="E681" s="49"/>
    </row>
    <row r="682" spans="2:5">
      <c r="B682" s="49"/>
      <c r="D682" s="49"/>
      <c r="E682" s="49"/>
    </row>
    <row r="683" spans="2:5">
      <c r="B683" s="49"/>
      <c r="D683" s="49"/>
      <c r="E683" s="49"/>
    </row>
    <row r="684" spans="2:5">
      <c r="B684" s="49"/>
      <c r="D684" s="49"/>
      <c r="E684" s="49"/>
    </row>
    <row r="685" spans="2:5">
      <c r="B685" s="49"/>
      <c r="D685" s="49"/>
      <c r="E685" s="49"/>
    </row>
    <row r="686" spans="2:5">
      <c r="B686" s="49"/>
      <c r="D686" s="49"/>
      <c r="E686" s="49"/>
    </row>
    <row r="687" spans="2:5">
      <c r="B687" s="49"/>
      <c r="D687" s="49"/>
      <c r="E687" s="49"/>
    </row>
    <row r="688" spans="2:5">
      <c r="B688" s="49"/>
      <c r="D688" s="49"/>
      <c r="E688" s="49"/>
    </row>
    <row r="689" spans="2:5">
      <c r="B689" s="49"/>
      <c r="D689" s="49"/>
      <c r="E689" s="49"/>
    </row>
    <row r="690" spans="2:5">
      <c r="B690" s="49"/>
      <c r="D690" s="49"/>
      <c r="E690" s="49"/>
    </row>
    <row r="691" spans="2:5">
      <c r="B691" s="49"/>
      <c r="D691" s="49"/>
      <c r="E691" s="49"/>
    </row>
    <row r="692" spans="2:5">
      <c r="B692" s="49"/>
      <c r="D692" s="49"/>
      <c r="E692" s="49"/>
    </row>
    <row r="693" spans="2:5">
      <c r="B693" s="49"/>
      <c r="D693" s="49"/>
      <c r="E693" s="49"/>
    </row>
    <row r="694" spans="2:5">
      <c r="B694" s="49"/>
      <c r="D694" s="49"/>
      <c r="E694" s="49"/>
    </row>
    <row r="695" spans="2:5">
      <c r="B695" s="49"/>
      <c r="D695" s="49"/>
      <c r="E695" s="49"/>
    </row>
    <row r="696" spans="2:5">
      <c r="B696" s="49"/>
      <c r="D696" s="49"/>
      <c r="E696" s="49"/>
    </row>
    <row r="697" spans="2:5">
      <c r="B697" s="49"/>
      <c r="D697" s="49"/>
      <c r="E697" s="49"/>
    </row>
    <row r="698" spans="2:5">
      <c r="B698" s="49"/>
      <c r="D698" s="49"/>
      <c r="E698" s="49"/>
    </row>
    <row r="699" spans="2:5">
      <c r="B699" s="49"/>
      <c r="D699" s="49"/>
      <c r="E699" s="49"/>
    </row>
    <row r="700" spans="2:5">
      <c r="B700" s="49"/>
      <c r="D700" s="49"/>
      <c r="E700" s="49"/>
    </row>
    <row r="701" spans="2:5">
      <c r="B701" s="49"/>
      <c r="D701" s="49"/>
      <c r="E701" s="49"/>
    </row>
    <row r="702" spans="2:5">
      <c r="B702" s="49"/>
      <c r="D702" s="49"/>
      <c r="E702" s="49"/>
    </row>
    <row r="703" spans="2:5">
      <c r="B703" s="49"/>
      <c r="D703" s="49"/>
      <c r="E703" s="49"/>
    </row>
    <row r="704" spans="2:5">
      <c r="B704" s="49"/>
      <c r="D704" s="49"/>
      <c r="E704" s="49"/>
    </row>
    <row r="705" spans="2:5">
      <c r="B705" s="49"/>
      <c r="D705" s="49"/>
      <c r="E705" s="49"/>
    </row>
    <row r="706" spans="2:5">
      <c r="B706" s="49"/>
      <c r="D706" s="49"/>
      <c r="E706" s="49"/>
    </row>
    <row r="707" spans="2:5">
      <c r="B707" s="49"/>
      <c r="D707" s="49"/>
      <c r="E707" s="49"/>
    </row>
    <row r="708" spans="2:5">
      <c r="B708" s="49"/>
      <c r="D708" s="49"/>
      <c r="E708" s="49"/>
    </row>
    <row r="709" spans="2:5">
      <c r="B709" s="49"/>
      <c r="D709" s="49"/>
      <c r="E709" s="49"/>
    </row>
    <row r="710" spans="2:5">
      <c r="B710" s="49"/>
      <c r="D710" s="49"/>
      <c r="E710" s="49"/>
    </row>
    <row r="711" spans="2:5">
      <c r="B711" s="49"/>
      <c r="D711" s="49"/>
      <c r="E711" s="49"/>
    </row>
    <row r="712" spans="2:5">
      <c r="B712" s="49"/>
      <c r="D712" s="49"/>
      <c r="E712" s="49"/>
    </row>
    <row r="713" spans="2:5">
      <c r="B713" s="49"/>
      <c r="D713" s="49"/>
      <c r="E713" s="49"/>
    </row>
    <row r="714" spans="2:5">
      <c r="B714" s="49"/>
      <c r="D714" s="49"/>
      <c r="E714" s="49"/>
    </row>
    <row r="715" spans="2:5">
      <c r="B715" s="49"/>
      <c r="D715" s="49"/>
      <c r="E715" s="49"/>
    </row>
    <row r="716" spans="2:5">
      <c r="B716" s="49"/>
      <c r="D716" s="49"/>
      <c r="E716" s="49"/>
    </row>
    <row r="717" spans="2:5">
      <c r="B717" s="49"/>
      <c r="D717" s="49"/>
      <c r="E717" s="49"/>
    </row>
    <row r="718" spans="2:5">
      <c r="B718" s="49"/>
      <c r="D718" s="49"/>
      <c r="E718" s="49"/>
    </row>
    <row r="719" spans="2:5">
      <c r="B719" s="49"/>
      <c r="D719" s="49"/>
      <c r="E719" s="49"/>
    </row>
    <row r="720" spans="2:5">
      <c r="B720" s="49"/>
      <c r="D720" s="49"/>
      <c r="E720" s="49"/>
    </row>
    <row r="721" spans="2:5">
      <c r="B721" s="49"/>
      <c r="D721" s="49"/>
      <c r="E721" s="49"/>
    </row>
    <row r="722" spans="2:5">
      <c r="B722" s="49"/>
      <c r="D722" s="49"/>
      <c r="E722" s="49"/>
    </row>
    <row r="723" spans="2:5">
      <c r="B723" s="49"/>
      <c r="D723" s="49"/>
      <c r="E723" s="49"/>
    </row>
    <row r="724" spans="2:5">
      <c r="B724" s="49"/>
      <c r="D724" s="49"/>
      <c r="E724" s="49"/>
    </row>
    <row r="725" spans="2:5">
      <c r="B725" s="49"/>
      <c r="D725" s="49"/>
      <c r="E725" s="49"/>
    </row>
    <row r="726" spans="2:5">
      <c r="B726" s="49"/>
      <c r="D726" s="49"/>
      <c r="E726" s="49"/>
    </row>
    <row r="727" spans="2:5">
      <c r="B727" s="49"/>
      <c r="D727" s="49"/>
      <c r="E727" s="49"/>
    </row>
    <row r="728" spans="2:5">
      <c r="B728" s="49"/>
      <c r="D728" s="49"/>
      <c r="E728" s="49"/>
    </row>
    <row r="729" spans="2:5">
      <c r="B729" s="49"/>
      <c r="D729" s="49"/>
      <c r="E729" s="49"/>
    </row>
    <row r="730" spans="2:5">
      <c r="B730" s="49"/>
      <c r="D730" s="49"/>
      <c r="E730" s="49"/>
    </row>
    <row r="731" spans="2:5">
      <c r="B731" s="49"/>
      <c r="D731" s="49"/>
      <c r="E731" s="49"/>
    </row>
    <row r="732" spans="2:5">
      <c r="B732" s="49"/>
      <c r="D732" s="49"/>
      <c r="E732" s="49"/>
    </row>
    <row r="733" spans="2:5">
      <c r="B733" s="49"/>
      <c r="D733" s="49"/>
      <c r="E733" s="49"/>
    </row>
    <row r="734" spans="2:5">
      <c r="B734" s="49"/>
      <c r="D734" s="49"/>
      <c r="E734" s="49"/>
    </row>
    <row r="735" spans="2:5">
      <c r="B735" s="49"/>
      <c r="D735" s="49"/>
      <c r="E735" s="49"/>
    </row>
    <row r="736" spans="2:5">
      <c r="B736" s="49"/>
      <c r="D736" s="49"/>
      <c r="E736" s="49"/>
    </row>
    <row r="737" spans="2:5">
      <c r="B737" s="49"/>
      <c r="D737" s="49"/>
      <c r="E737" s="49"/>
    </row>
    <row r="738" spans="2:5">
      <c r="B738" s="49"/>
      <c r="D738" s="49"/>
      <c r="E738" s="49"/>
    </row>
    <row r="739" spans="2:5">
      <c r="B739" s="49"/>
      <c r="D739" s="49"/>
      <c r="E739" s="49"/>
    </row>
    <row r="740" spans="2:5">
      <c r="B740" s="49"/>
      <c r="D740" s="49"/>
      <c r="E740" s="49"/>
    </row>
    <row r="741" spans="2:5">
      <c r="B741" s="49"/>
      <c r="D741" s="49"/>
      <c r="E741" s="49"/>
    </row>
    <row r="742" spans="2:5">
      <c r="B742" s="49"/>
      <c r="D742" s="49"/>
      <c r="E742" s="49"/>
    </row>
    <row r="743" spans="2:5">
      <c r="B743" s="49"/>
      <c r="D743" s="49"/>
      <c r="E743" s="49"/>
    </row>
    <row r="744" spans="2:5">
      <c r="B744" s="49"/>
      <c r="D744" s="49"/>
      <c r="E744" s="49"/>
    </row>
    <row r="745" spans="2:5">
      <c r="B745" s="49"/>
      <c r="D745" s="49"/>
      <c r="E745" s="49"/>
    </row>
    <row r="746" spans="2:5">
      <c r="B746" s="49"/>
      <c r="D746" s="49"/>
      <c r="E746" s="49"/>
    </row>
    <row r="747" spans="2:5">
      <c r="B747" s="49"/>
      <c r="D747" s="49"/>
      <c r="E747" s="49"/>
    </row>
    <row r="748" spans="2:5">
      <c r="B748" s="49"/>
      <c r="D748" s="49"/>
      <c r="E748" s="49"/>
    </row>
    <row r="749" spans="2:5">
      <c r="B749" s="49"/>
      <c r="D749" s="49"/>
      <c r="E749" s="49"/>
    </row>
    <row r="750" spans="2:5">
      <c r="B750" s="49"/>
      <c r="D750" s="49"/>
      <c r="E750" s="49"/>
    </row>
    <row r="751" spans="2:5">
      <c r="B751" s="49"/>
      <c r="D751" s="49"/>
      <c r="E751" s="49"/>
    </row>
    <row r="752" spans="2:5">
      <c r="B752" s="49"/>
      <c r="D752" s="49"/>
      <c r="E752" s="49"/>
    </row>
    <row r="753" spans="2:5">
      <c r="B753" s="49"/>
      <c r="D753" s="49"/>
      <c r="E753" s="49"/>
    </row>
    <row r="754" spans="2:5">
      <c r="B754" s="49"/>
      <c r="D754" s="49"/>
      <c r="E754" s="49"/>
    </row>
    <row r="755" spans="2:5">
      <c r="B755" s="49"/>
      <c r="D755" s="49"/>
      <c r="E755" s="49"/>
    </row>
    <row r="756" spans="2:5">
      <c r="B756" s="49"/>
      <c r="D756" s="49"/>
      <c r="E756" s="49"/>
    </row>
    <row r="757" spans="2:5">
      <c r="B757" s="49"/>
      <c r="D757" s="49"/>
      <c r="E757" s="49"/>
    </row>
    <row r="758" spans="2:5">
      <c r="B758" s="49"/>
      <c r="D758" s="49"/>
      <c r="E758" s="49"/>
    </row>
    <row r="759" spans="2:5">
      <c r="B759" s="49"/>
      <c r="D759" s="49"/>
      <c r="E759" s="49"/>
    </row>
    <row r="760" spans="2:5">
      <c r="B760" s="49"/>
      <c r="D760" s="49"/>
      <c r="E760" s="49"/>
    </row>
    <row r="761" spans="2:5">
      <c r="B761" s="49"/>
      <c r="D761" s="49"/>
      <c r="E761" s="49"/>
    </row>
    <row r="762" spans="2:5">
      <c r="B762" s="49"/>
      <c r="D762" s="49"/>
      <c r="E762" s="49"/>
    </row>
    <row r="763" spans="2:5">
      <c r="B763" s="49"/>
      <c r="D763" s="49"/>
      <c r="E763" s="49"/>
    </row>
    <row r="764" spans="2:5">
      <c r="B764" s="49"/>
      <c r="D764" s="49"/>
      <c r="E764" s="49"/>
    </row>
    <row r="765" spans="2:5">
      <c r="B765" s="49"/>
      <c r="D765" s="49"/>
      <c r="E765" s="49"/>
    </row>
    <row r="766" spans="2:5">
      <c r="B766" s="49"/>
      <c r="D766" s="49"/>
      <c r="E766" s="49"/>
    </row>
    <row r="767" spans="2:5">
      <c r="B767" s="49"/>
      <c r="D767" s="49"/>
      <c r="E767" s="49"/>
    </row>
    <row r="768" spans="2:5">
      <c r="B768" s="49"/>
      <c r="D768" s="49"/>
      <c r="E768" s="49"/>
    </row>
    <row r="769" spans="2:5">
      <c r="B769" s="49"/>
      <c r="D769" s="49"/>
      <c r="E769" s="49"/>
    </row>
    <row r="770" spans="2:5">
      <c r="B770" s="49"/>
      <c r="D770" s="49"/>
      <c r="E770" s="49"/>
    </row>
    <row r="771" spans="2:5">
      <c r="B771" s="49"/>
      <c r="D771" s="49"/>
      <c r="E771" s="49"/>
    </row>
    <row r="772" spans="2:5">
      <c r="B772" s="49"/>
      <c r="D772" s="49"/>
      <c r="E772" s="49"/>
    </row>
    <row r="773" spans="2:5">
      <c r="B773" s="49"/>
      <c r="D773" s="49"/>
      <c r="E773" s="49"/>
    </row>
    <row r="774" spans="2:5">
      <c r="B774" s="49"/>
      <c r="D774" s="49"/>
      <c r="E774" s="49"/>
    </row>
    <row r="775" spans="2:5">
      <c r="B775" s="49"/>
      <c r="D775" s="49"/>
      <c r="E775" s="49"/>
    </row>
    <row r="776" spans="2:5">
      <c r="B776" s="49"/>
      <c r="D776" s="49"/>
      <c r="E776" s="49"/>
    </row>
    <row r="777" spans="2:5">
      <c r="B777" s="49"/>
      <c r="D777" s="49"/>
      <c r="E777" s="49"/>
    </row>
    <row r="778" spans="2:5">
      <c r="B778" s="49"/>
      <c r="D778" s="49"/>
      <c r="E778" s="49"/>
    </row>
    <row r="779" spans="2:5">
      <c r="B779" s="49"/>
      <c r="D779" s="49"/>
      <c r="E779" s="49"/>
    </row>
    <row r="780" spans="2:5">
      <c r="B780" s="49"/>
      <c r="D780" s="49"/>
      <c r="E780" s="49"/>
    </row>
    <row r="781" spans="2:5">
      <c r="B781" s="49"/>
      <c r="D781" s="49"/>
      <c r="E781" s="49"/>
    </row>
    <row r="782" spans="2:5">
      <c r="B782" s="49"/>
      <c r="D782" s="49"/>
      <c r="E782" s="49"/>
    </row>
    <row r="783" spans="2:5">
      <c r="B783" s="49"/>
      <c r="D783" s="49"/>
      <c r="E783" s="49"/>
    </row>
    <row r="784" spans="2:5">
      <c r="B784" s="49"/>
      <c r="D784" s="49"/>
      <c r="E784" s="49"/>
    </row>
    <row r="785" spans="2:5">
      <c r="B785" s="49"/>
      <c r="D785" s="49"/>
      <c r="E785" s="49"/>
    </row>
    <row r="786" spans="2:5">
      <c r="B786" s="49"/>
      <c r="D786" s="49"/>
      <c r="E786" s="49"/>
    </row>
    <row r="787" spans="2:5">
      <c r="B787" s="49"/>
      <c r="D787" s="49"/>
      <c r="E787" s="49"/>
    </row>
    <row r="788" spans="2:5">
      <c r="B788" s="49"/>
      <c r="D788" s="49"/>
      <c r="E788" s="49"/>
    </row>
    <row r="789" spans="2:5">
      <c r="B789" s="49"/>
      <c r="D789" s="49"/>
      <c r="E789" s="49"/>
    </row>
    <row r="790" spans="2:5">
      <c r="B790" s="49"/>
      <c r="D790" s="49"/>
      <c r="E790" s="49"/>
    </row>
    <row r="791" spans="2:5">
      <c r="B791" s="49"/>
      <c r="D791" s="49"/>
      <c r="E791" s="49"/>
    </row>
    <row r="792" spans="2:5">
      <c r="B792" s="49"/>
      <c r="D792" s="49"/>
      <c r="E792" s="49"/>
    </row>
    <row r="793" spans="2:5">
      <c r="B793" s="49"/>
      <c r="D793" s="49"/>
      <c r="E793" s="49"/>
    </row>
    <row r="794" spans="2:5">
      <c r="B794" s="49"/>
      <c r="D794" s="49"/>
      <c r="E794" s="49"/>
    </row>
    <row r="795" spans="2:5">
      <c r="B795" s="49"/>
      <c r="D795" s="49"/>
      <c r="E795" s="49"/>
    </row>
    <row r="796" spans="2:5">
      <c r="B796" s="49"/>
      <c r="D796" s="49"/>
      <c r="E796" s="49"/>
    </row>
    <row r="797" spans="2:5">
      <c r="B797" s="49"/>
      <c r="D797" s="49"/>
      <c r="E797" s="49"/>
    </row>
    <row r="798" spans="2:5">
      <c r="B798" s="49"/>
      <c r="D798" s="49"/>
      <c r="E798" s="49"/>
    </row>
    <row r="799" spans="2:5">
      <c r="B799" s="49"/>
      <c r="D799" s="49"/>
      <c r="E799" s="49"/>
    </row>
    <row r="800" spans="2:5">
      <c r="B800" s="49"/>
      <c r="D800" s="49"/>
      <c r="E800" s="49"/>
    </row>
    <row r="801" spans="2:5">
      <c r="B801" s="49"/>
      <c r="D801" s="49"/>
      <c r="E801" s="49"/>
    </row>
    <row r="802" spans="2:5">
      <c r="B802" s="49"/>
      <c r="D802" s="49"/>
      <c r="E802" s="49"/>
    </row>
    <row r="803" spans="2:5">
      <c r="B803" s="49"/>
      <c r="D803" s="49"/>
      <c r="E803" s="49"/>
    </row>
    <row r="804" spans="2:5">
      <c r="B804" s="49"/>
      <c r="D804" s="49"/>
      <c r="E804" s="49"/>
    </row>
    <row r="805" spans="2:5">
      <c r="B805" s="49"/>
      <c r="D805" s="49"/>
      <c r="E805" s="49"/>
    </row>
    <row r="806" spans="2:5">
      <c r="B806" s="49"/>
      <c r="D806" s="49"/>
      <c r="E806" s="49"/>
    </row>
    <row r="807" spans="2:5">
      <c r="B807" s="49"/>
      <c r="D807" s="49"/>
      <c r="E807" s="49"/>
    </row>
    <row r="808" spans="2:5">
      <c r="B808" s="49"/>
      <c r="D808" s="49"/>
      <c r="E808" s="49"/>
    </row>
    <row r="809" spans="2:5">
      <c r="B809" s="49"/>
      <c r="D809" s="49"/>
      <c r="E809" s="49"/>
    </row>
    <row r="810" spans="2:5">
      <c r="B810" s="49"/>
      <c r="D810" s="49"/>
      <c r="E810" s="49"/>
    </row>
    <row r="811" spans="2:5">
      <c r="B811" s="49"/>
      <c r="D811" s="49"/>
      <c r="E811" s="49"/>
    </row>
    <row r="812" spans="2:5">
      <c r="B812" s="49"/>
      <c r="D812" s="49"/>
      <c r="E812" s="49"/>
    </row>
    <row r="813" spans="2:5">
      <c r="B813" s="49"/>
      <c r="D813" s="49"/>
      <c r="E813" s="49"/>
    </row>
    <row r="814" spans="2:5">
      <c r="B814" s="49"/>
      <c r="D814" s="49"/>
      <c r="E814" s="49"/>
    </row>
    <row r="815" spans="2:5">
      <c r="B815" s="49"/>
      <c r="D815" s="49"/>
      <c r="E815" s="49"/>
    </row>
    <row r="816" spans="2:5">
      <c r="B816" s="49"/>
      <c r="D816" s="49"/>
      <c r="E816" s="49"/>
    </row>
    <row r="817" spans="2:5">
      <c r="B817" s="49"/>
      <c r="D817" s="49"/>
      <c r="E817" s="49"/>
    </row>
    <row r="818" spans="2:5">
      <c r="B818" s="49"/>
      <c r="D818" s="49"/>
      <c r="E818" s="49"/>
    </row>
    <row r="819" spans="2:5">
      <c r="B819" s="49"/>
      <c r="D819" s="49"/>
      <c r="E819" s="49"/>
    </row>
    <row r="820" spans="2:5">
      <c r="B820" s="49"/>
      <c r="D820" s="49"/>
      <c r="E820" s="49"/>
    </row>
    <row r="821" spans="2:5">
      <c r="B821" s="49"/>
      <c r="D821" s="49"/>
      <c r="E821" s="49"/>
    </row>
    <row r="822" spans="2:5">
      <c r="B822" s="49"/>
      <c r="D822" s="49"/>
      <c r="E822" s="49"/>
    </row>
    <row r="823" spans="2:5">
      <c r="B823" s="49"/>
      <c r="D823" s="49"/>
      <c r="E823" s="49"/>
    </row>
    <row r="824" spans="2:5">
      <c r="B824" s="49"/>
      <c r="D824" s="49"/>
      <c r="E824" s="49"/>
    </row>
    <row r="825" spans="2:5">
      <c r="B825" s="49"/>
      <c r="D825" s="49"/>
      <c r="E825" s="49"/>
    </row>
    <row r="826" spans="2:5">
      <c r="B826" s="49"/>
      <c r="D826" s="49"/>
      <c r="E826" s="49"/>
    </row>
    <row r="827" spans="2:5">
      <c r="B827" s="49"/>
      <c r="D827" s="49"/>
      <c r="E827" s="49"/>
    </row>
    <row r="828" spans="2:5">
      <c r="B828" s="49"/>
      <c r="D828" s="49"/>
      <c r="E828" s="49"/>
    </row>
    <row r="829" spans="2:5">
      <c r="B829" s="49"/>
      <c r="D829" s="49"/>
      <c r="E829" s="49"/>
    </row>
    <row r="830" spans="2:5">
      <c r="B830" s="49"/>
      <c r="D830" s="49"/>
      <c r="E830" s="49"/>
    </row>
    <row r="831" spans="2:5">
      <c r="B831" s="49"/>
      <c r="D831" s="49"/>
      <c r="E831" s="49"/>
    </row>
    <row r="832" spans="2:5">
      <c r="B832" s="49"/>
      <c r="D832" s="49"/>
      <c r="E832" s="49"/>
    </row>
    <row r="833" spans="2:5">
      <c r="B833" s="49"/>
      <c r="D833" s="49"/>
      <c r="E833" s="49"/>
    </row>
    <row r="834" spans="2:5">
      <c r="B834" s="49"/>
      <c r="D834" s="49"/>
      <c r="E834" s="49"/>
    </row>
    <row r="835" spans="2:5">
      <c r="B835" s="49"/>
      <c r="D835" s="49"/>
      <c r="E835" s="49"/>
    </row>
    <row r="836" spans="2:5">
      <c r="B836" s="49"/>
      <c r="D836" s="49"/>
      <c r="E836" s="49"/>
    </row>
    <row r="837" spans="2:5">
      <c r="B837" s="49"/>
      <c r="D837" s="49"/>
      <c r="E837" s="49"/>
    </row>
    <row r="838" spans="2:5">
      <c r="B838" s="49"/>
      <c r="D838" s="49"/>
      <c r="E838" s="49"/>
    </row>
    <row r="839" spans="2:5">
      <c r="B839" s="49"/>
      <c r="D839" s="49"/>
      <c r="E839" s="49"/>
    </row>
    <row r="840" spans="2:5">
      <c r="B840" s="49"/>
      <c r="D840" s="49"/>
      <c r="E840" s="49"/>
    </row>
    <row r="841" spans="2:5">
      <c r="B841" s="49"/>
      <c r="D841" s="49"/>
      <c r="E841" s="49"/>
    </row>
    <row r="842" spans="2:5">
      <c r="B842" s="49"/>
      <c r="D842" s="49"/>
      <c r="E842" s="49"/>
    </row>
    <row r="843" spans="2:5">
      <c r="B843" s="49"/>
      <c r="D843" s="49"/>
      <c r="E843" s="49"/>
    </row>
    <row r="844" spans="2:5">
      <c r="B844" s="49"/>
      <c r="D844" s="49"/>
      <c r="E844" s="49"/>
    </row>
    <row r="845" spans="2:5">
      <c r="B845" s="49"/>
      <c r="D845" s="49"/>
      <c r="E845" s="49"/>
    </row>
    <row r="846" spans="2:5">
      <c r="B846" s="49"/>
      <c r="D846" s="49"/>
      <c r="E846" s="49"/>
    </row>
    <row r="847" spans="2:5">
      <c r="B847" s="49"/>
      <c r="D847" s="49"/>
      <c r="E847" s="49"/>
    </row>
    <row r="848" spans="2:5">
      <c r="B848" s="49"/>
      <c r="D848" s="49"/>
      <c r="E848" s="49"/>
    </row>
    <row r="849" spans="2:5">
      <c r="B849" s="49"/>
      <c r="D849" s="49"/>
      <c r="E849" s="49"/>
    </row>
    <row r="850" spans="2:5">
      <c r="B850" s="49"/>
      <c r="D850" s="49"/>
      <c r="E850" s="49"/>
    </row>
    <row r="851" spans="2:5">
      <c r="B851" s="49"/>
      <c r="D851" s="49"/>
      <c r="E851" s="49"/>
    </row>
    <row r="852" spans="2:5">
      <c r="B852" s="49"/>
      <c r="D852" s="49"/>
      <c r="E852" s="49"/>
    </row>
    <row r="853" spans="2:5">
      <c r="B853" s="49"/>
      <c r="D853" s="49"/>
      <c r="E853" s="49"/>
    </row>
    <row r="854" spans="2:5">
      <c r="B854" s="49"/>
      <c r="D854" s="49"/>
      <c r="E854" s="49"/>
    </row>
    <row r="855" spans="2:5">
      <c r="B855" s="49"/>
      <c r="D855" s="49"/>
      <c r="E855" s="49"/>
    </row>
    <row r="856" spans="2:5">
      <c r="B856" s="49"/>
      <c r="D856" s="49"/>
      <c r="E856" s="49"/>
    </row>
    <row r="857" spans="2:5">
      <c r="B857" s="49"/>
      <c r="D857" s="49"/>
      <c r="E857" s="49"/>
    </row>
    <row r="858" spans="2:5">
      <c r="B858" s="49"/>
      <c r="D858" s="49"/>
      <c r="E858" s="49"/>
    </row>
    <row r="859" spans="2:5">
      <c r="B859" s="49"/>
      <c r="D859" s="49"/>
      <c r="E859" s="49"/>
    </row>
    <row r="860" spans="2:5">
      <c r="B860" s="49"/>
      <c r="D860" s="49"/>
      <c r="E860" s="49"/>
    </row>
    <row r="861" spans="2:5">
      <c r="B861" s="49"/>
      <c r="D861" s="49"/>
      <c r="E861" s="49"/>
    </row>
    <row r="862" spans="2:5">
      <c r="B862" s="49"/>
      <c r="D862" s="49"/>
      <c r="E862" s="49"/>
    </row>
    <row r="863" spans="2:5">
      <c r="B863" s="49"/>
      <c r="D863" s="49"/>
      <c r="E863" s="49"/>
    </row>
    <row r="864" spans="2:5">
      <c r="B864" s="49"/>
      <c r="D864" s="49"/>
      <c r="E864" s="49"/>
    </row>
    <row r="865" spans="2:5">
      <c r="B865" s="49"/>
      <c r="D865" s="49"/>
      <c r="E865" s="49"/>
    </row>
    <row r="866" spans="2:5">
      <c r="B866" s="49"/>
      <c r="D866" s="49"/>
      <c r="E866" s="49"/>
    </row>
    <row r="867" spans="2:5">
      <c r="B867" s="49"/>
      <c r="D867" s="49"/>
      <c r="E867" s="49"/>
    </row>
    <row r="868" spans="2:5">
      <c r="B868" s="49"/>
      <c r="D868" s="49"/>
      <c r="E868" s="49"/>
    </row>
    <row r="869" spans="2:5">
      <c r="B869" s="49"/>
      <c r="D869" s="49"/>
      <c r="E869" s="49"/>
    </row>
    <row r="870" spans="2:5">
      <c r="B870" s="49"/>
      <c r="D870" s="49"/>
      <c r="E870" s="49"/>
    </row>
    <row r="871" spans="2:5">
      <c r="B871" s="49"/>
      <c r="D871" s="49"/>
      <c r="E871" s="49"/>
    </row>
    <row r="872" spans="2:5">
      <c r="B872" s="49"/>
      <c r="D872" s="49"/>
      <c r="E872" s="49"/>
    </row>
    <row r="873" spans="2:5">
      <c r="B873" s="49"/>
      <c r="D873" s="49"/>
      <c r="E873" s="49"/>
    </row>
    <row r="874" spans="2:5">
      <c r="B874" s="49"/>
      <c r="D874" s="49"/>
      <c r="E874" s="49"/>
    </row>
    <row r="875" spans="2:5">
      <c r="B875" s="49"/>
      <c r="D875" s="49"/>
      <c r="E875" s="49"/>
    </row>
    <row r="876" spans="2:5">
      <c r="B876" s="49"/>
      <c r="D876" s="49"/>
      <c r="E876" s="49"/>
    </row>
    <row r="877" spans="2:5">
      <c r="B877" s="49"/>
      <c r="D877" s="49"/>
      <c r="E877" s="49"/>
    </row>
    <row r="878" spans="2:5">
      <c r="B878" s="49"/>
      <c r="D878" s="49"/>
      <c r="E878" s="49"/>
    </row>
    <row r="879" spans="2:5">
      <c r="B879" s="49"/>
      <c r="D879" s="49"/>
      <c r="E879" s="49"/>
    </row>
    <row r="880" spans="2:5">
      <c r="B880" s="49"/>
      <c r="D880" s="49"/>
      <c r="E880" s="49"/>
    </row>
    <row r="881" spans="2:5">
      <c r="B881" s="49"/>
      <c r="D881" s="49"/>
      <c r="E881" s="49"/>
    </row>
    <row r="882" spans="2:5">
      <c r="B882" s="49"/>
      <c r="D882" s="49"/>
      <c r="E882" s="49"/>
    </row>
    <row r="883" spans="2:5">
      <c r="B883" s="49"/>
      <c r="D883" s="49"/>
      <c r="E883" s="49"/>
    </row>
    <row r="884" spans="2:5">
      <c r="B884" s="49"/>
      <c r="D884" s="49"/>
      <c r="E884" s="49"/>
    </row>
    <row r="885" spans="2:5">
      <c r="B885" s="49"/>
      <c r="D885" s="49"/>
      <c r="E885" s="49"/>
    </row>
    <row r="886" spans="2:5">
      <c r="B886" s="49"/>
      <c r="D886" s="49"/>
      <c r="E886" s="49"/>
    </row>
    <row r="887" spans="2:5">
      <c r="B887" s="49"/>
      <c r="D887" s="49"/>
      <c r="E887" s="49"/>
    </row>
    <row r="888" spans="2:5">
      <c r="B888" s="49"/>
      <c r="D888" s="49"/>
      <c r="E888" s="49"/>
    </row>
    <row r="889" spans="2:5">
      <c r="B889" s="49"/>
      <c r="D889" s="49"/>
      <c r="E889" s="49"/>
    </row>
    <row r="890" spans="2:5">
      <c r="B890" s="49"/>
      <c r="D890" s="49"/>
      <c r="E890" s="49"/>
    </row>
    <row r="891" spans="2:5">
      <c r="B891" s="49"/>
      <c r="D891" s="49"/>
      <c r="E891" s="49"/>
    </row>
    <row r="892" spans="2:5">
      <c r="B892" s="49"/>
      <c r="D892" s="49"/>
      <c r="E892" s="49"/>
    </row>
    <row r="893" spans="2:5">
      <c r="B893" s="49"/>
      <c r="D893" s="49"/>
      <c r="E893" s="49"/>
    </row>
    <row r="894" spans="2:5">
      <c r="B894" s="49"/>
      <c r="D894" s="49"/>
      <c r="E894" s="49"/>
    </row>
    <row r="895" spans="2:5">
      <c r="B895" s="49"/>
      <c r="D895" s="49"/>
      <c r="E895" s="49"/>
    </row>
    <row r="896" spans="2:5">
      <c r="B896" s="49"/>
      <c r="D896" s="49"/>
      <c r="E896" s="49"/>
    </row>
    <row r="897" spans="2:5">
      <c r="B897" s="49"/>
      <c r="D897" s="49"/>
      <c r="E897" s="49"/>
    </row>
    <row r="898" spans="2:5">
      <c r="B898" s="49"/>
      <c r="D898" s="49"/>
      <c r="E898" s="49"/>
    </row>
    <row r="899" spans="2:5">
      <c r="B899" s="49"/>
      <c r="D899" s="49"/>
      <c r="E899" s="49"/>
    </row>
    <row r="900" spans="2:5">
      <c r="B900" s="49"/>
      <c r="D900" s="49"/>
      <c r="E900" s="49"/>
    </row>
    <row r="901" spans="2:5">
      <c r="B901" s="49"/>
      <c r="D901" s="49"/>
      <c r="E901" s="49"/>
    </row>
    <row r="902" spans="2:5">
      <c r="B902" s="49"/>
      <c r="D902" s="49"/>
      <c r="E902" s="49"/>
    </row>
    <row r="903" spans="2:5">
      <c r="B903" s="49"/>
      <c r="D903" s="49"/>
      <c r="E903" s="49"/>
    </row>
    <row r="904" spans="2:5">
      <c r="B904" s="49"/>
      <c r="D904" s="49"/>
      <c r="E904" s="49"/>
    </row>
    <row r="905" spans="2:5">
      <c r="B905" s="49"/>
      <c r="D905" s="49"/>
      <c r="E905" s="49"/>
    </row>
    <row r="906" spans="2:5">
      <c r="B906" s="49"/>
      <c r="D906" s="49"/>
      <c r="E906" s="49"/>
    </row>
    <row r="907" spans="2:5">
      <c r="B907" s="49"/>
      <c r="D907" s="49"/>
      <c r="E907" s="49"/>
    </row>
    <row r="908" spans="2:5">
      <c r="B908" s="49"/>
      <c r="D908" s="49"/>
      <c r="E908" s="49"/>
    </row>
    <row r="909" spans="2:5">
      <c r="B909" s="49"/>
      <c r="D909" s="49"/>
      <c r="E909" s="49"/>
    </row>
    <row r="910" spans="2:5">
      <c r="B910" s="49"/>
      <c r="D910" s="49"/>
      <c r="E910" s="49"/>
    </row>
    <row r="911" spans="2:5">
      <c r="B911" s="49"/>
      <c r="D911" s="49"/>
      <c r="E911" s="49"/>
    </row>
    <row r="912" spans="2:5">
      <c r="B912" s="49"/>
      <c r="D912" s="49"/>
      <c r="E912" s="49"/>
    </row>
    <row r="913" spans="2:5">
      <c r="B913" s="49"/>
      <c r="D913" s="49"/>
      <c r="E913" s="49"/>
    </row>
    <row r="914" spans="2:5">
      <c r="B914" s="49"/>
      <c r="D914" s="49"/>
      <c r="E914" s="49"/>
    </row>
    <row r="915" spans="2:5">
      <c r="B915" s="49"/>
      <c r="D915" s="49"/>
      <c r="E915" s="49"/>
    </row>
    <row r="916" spans="2:5">
      <c r="B916" s="49"/>
      <c r="D916" s="49"/>
      <c r="E916" s="49"/>
    </row>
    <row r="917" spans="2:5">
      <c r="B917" s="49"/>
      <c r="D917" s="49"/>
      <c r="E917" s="49"/>
    </row>
    <row r="918" spans="2:5">
      <c r="B918" s="49"/>
      <c r="D918" s="49"/>
      <c r="E918" s="49"/>
    </row>
    <row r="919" spans="2:5">
      <c r="B919" s="49"/>
      <c r="D919" s="49"/>
      <c r="E919" s="49"/>
    </row>
    <row r="920" spans="2:5">
      <c r="B920" s="49"/>
      <c r="D920" s="49"/>
      <c r="E920" s="49"/>
    </row>
    <row r="921" spans="2:5">
      <c r="B921" s="49"/>
      <c r="D921" s="49"/>
      <c r="E921" s="49"/>
    </row>
    <row r="922" spans="2:5">
      <c r="B922" s="49"/>
      <c r="D922" s="49"/>
      <c r="E922" s="49"/>
    </row>
    <row r="923" spans="2:5">
      <c r="B923" s="49"/>
      <c r="D923" s="49"/>
      <c r="E923" s="49"/>
    </row>
    <row r="924" spans="2:5">
      <c r="B924" s="49"/>
      <c r="D924" s="49"/>
      <c r="E924" s="49"/>
    </row>
    <row r="925" spans="2:5">
      <c r="B925" s="49"/>
      <c r="D925" s="49"/>
      <c r="E925" s="49"/>
    </row>
    <row r="926" spans="2:5">
      <c r="B926" s="49"/>
      <c r="D926" s="49"/>
      <c r="E926" s="49"/>
    </row>
    <row r="927" spans="2:5">
      <c r="B927" s="49"/>
      <c r="D927" s="49"/>
      <c r="E927" s="49"/>
    </row>
    <row r="928" spans="2:5">
      <c r="B928" s="49"/>
      <c r="D928" s="49"/>
      <c r="E928" s="49"/>
    </row>
    <row r="929" spans="2:5">
      <c r="B929" s="49"/>
      <c r="D929" s="49"/>
      <c r="E929" s="49"/>
    </row>
    <row r="930" spans="2:5">
      <c r="B930" s="49"/>
      <c r="D930" s="49"/>
      <c r="E930" s="49"/>
    </row>
    <row r="931" spans="2:5">
      <c r="B931" s="49"/>
      <c r="D931" s="49"/>
      <c r="E931" s="49"/>
    </row>
    <row r="932" spans="2:5">
      <c r="B932" s="49"/>
      <c r="D932" s="49"/>
      <c r="E932" s="49"/>
    </row>
    <row r="933" spans="2:5">
      <c r="B933" s="49"/>
      <c r="D933" s="49"/>
      <c r="E933" s="49"/>
    </row>
    <row r="934" spans="2:5">
      <c r="B934" s="49"/>
      <c r="D934" s="49"/>
      <c r="E934" s="49"/>
    </row>
    <row r="935" spans="2:5">
      <c r="B935" s="49"/>
      <c r="D935" s="49"/>
      <c r="E935" s="49"/>
    </row>
    <row r="936" spans="2:5">
      <c r="B936" s="49"/>
      <c r="D936" s="49"/>
      <c r="E936" s="49"/>
    </row>
    <row r="937" spans="2:5">
      <c r="B937" s="49"/>
      <c r="D937" s="49"/>
      <c r="E937" s="49"/>
    </row>
    <row r="938" spans="2:5">
      <c r="B938" s="49"/>
      <c r="D938" s="49"/>
      <c r="E938" s="49"/>
    </row>
    <row r="939" spans="2:5">
      <c r="B939" s="49"/>
      <c r="D939" s="49"/>
      <c r="E939" s="49"/>
    </row>
    <row r="940" spans="2:5">
      <c r="B940" s="49"/>
      <c r="D940" s="49"/>
      <c r="E940" s="49"/>
    </row>
    <row r="941" spans="2:5">
      <c r="B941" s="49"/>
      <c r="D941" s="49"/>
      <c r="E941" s="49"/>
    </row>
    <row r="942" spans="2:5">
      <c r="B942" s="49"/>
      <c r="D942" s="49"/>
      <c r="E942" s="49"/>
    </row>
    <row r="943" spans="2:5">
      <c r="B943" s="49"/>
      <c r="D943" s="49"/>
      <c r="E943" s="49"/>
    </row>
    <row r="944" spans="2:5">
      <c r="B944" s="49"/>
      <c r="D944" s="49"/>
      <c r="E944" s="49"/>
    </row>
    <row r="945" spans="2:5">
      <c r="B945" s="49"/>
      <c r="D945" s="49"/>
      <c r="E945" s="49"/>
    </row>
    <row r="946" spans="2:5">
      <c r="B946" s="49"/>
      <c r="D946" s="49"/>
      <c r="E946" s="49"/>
    </row>
    <row r="947" spans="2:5">
      <c r="B947" s="49"/>
      <c r="D947" s="49"/>
      <c r="E947" s="49"/>
    </row>
    <row r="948" spans="2:5">
      <c r="B948" s="49"/>
      <c r="D948" s="49"/>
      <c r="E948" s="49"/>
    </row>
    <row r="949" spans="2:5">
      <c r="B949" s="49"/>
      <c r="D949" s="49"/>
      <c r="E949" s="49"/>
    </row>
    <row r="950" spans="2:5">
      <c r="B950" s="49"/>
      <c r="D950" s="49"/>
      <c r="E950" s="49"/>
    </row>
    <row r="951" spans="2:5">
      <c r="B951" s="49"/>
      <c r="D951" s="49"/>
      <c r="E951" s="49"/>
    </row>
    <row r="952" spans="2:5">
      <c r="B952" s="49"/>
      <c r="D952" s="49"/>
      <c r="E952" s="49"/>
    </row>
    <row r="953" spans="2:5">
      <c r="B953" s="49"/>
      <c r="D953" s="49"/>
      <c r="E953" s="49"/>
    </row>
    <row r="954" spans="2:5">
      <c r="B954" s="49"/>
      <c r="D954" s="49"/>
      <c r="E954" s="49"/>
    </row>
    <row r="955" spans="2:5">
      <c r="B955" s="49"/>
      <c r="D955" s="49"/>
      <c r="E955" s="49"/>
    </row>
    <row r="956" spans="2:5">
      <c r="B956" s="49"/>
      <c r="D956" s="49"/>
      <c r="E956" s="49"/>
    </row>
    <row r="957" spans="2:5">
      <c r="B957" s="49"/>
      <c r="D957" s="49"/>
      <c r="E957" s="49"/>
    </row>
    <row r="958" spans="2:5">
      <c r="B958" s="49"/>
      <c r="D958" s="49"/>
      <c r="E958" s="49"/>
    </row>
    <row r="959" spans="2:5">
      <c r="B959" s="49"/>
      <c r="D959" s="49"/>
      <c r="E959" s="49"/>
    </row>
    <row r="960" spans="2:5">
      <c r="B960" s="49"/>
      <c r="D960" s="49"/>
      <c r="E960" s="49"/>
    </row>
    <row r="961" spans="2:5">
      <c r="B961" s="49"/>
      <c r="D961" s="49"/>
      <c r="E961" s="49"/>
    </row>
    <row r="962" spans="2:5">
      <c r="B962" s="49"/>
      <c r="D962" s="49"/>
      <c r="E962" s="49"/>
    </row>
    <row r="963" spans="2:5">
      <c r="B963" s="49"/>
      <c r="D963" s="49"/>
      <c r="E963" s="49"/>
    </row>
    <row r="964" spans="2:5">
      <c r="B964" s="49"/>
      <c r="D964" s="49"/>
      <c r="E964" s="49"/>
    </row>
    <row r="965" spans="2:5">
      <c r="B965" s="49"/>
      <c r="D965" s="49"/>
      <c r="E965" s="49"/>
    </row>
    <row r="966" spans="2:5">
      <c r="B966" s="49"/>
      <c r="D966" s="49"/>
      <c r="E966" s="49"/>
    </row>
    <row r="967" spans="2:5">
      <c r="B967" s="49"/>
      <c r="D967" s="49"/>
      <c r="E967" s="49"/>
    </row>
    <row r="968" spans="2:5">
      <c r="B968" s="49"/>
      <c r="D968" s="49"/>
      <c r="E968" s="49"/>
    </row>
    <row r="969" spans="2:5">
      <c r="B969" s="49"/>
      <c r="D969" s="49"/>
      <c r="E969" s="49"/>
    </row>
    <row r="970" spans="2:5">
      <c r="B970" s="49"/>
      <c r="D970" s="49"/>
      <c r="E970" s="49"/>
    </row>
    <row r="971" spans="2:5">
      <c r="B971" s="49"/>
      <c r="D971" s="49"/>
      <c r="E971" s="49"/>
    </row>
    <row r="972" spans="2:5">
      <c r="B972" s="49"/>
      <c r="D972" s="49"/>
      <c r="E972" s="49"/>
    </row>
    <row r="973" spans="2:5">
      <c r="B973" s="49"/>
      <c r="D973" s="49"/>
      <c r="E973" s="49"/>
    </row>
    <row r="974" spans="2:5">
      <c r="B974" s="49"/>
      <c r="D974" s="49"/>
      <c r="E974" s="49"/>
    </row>
    <row r="975" spans="2:5">
      <c r="B975" s="49"/>
      <c r="D975" s="49"/>
      <c r="E975" s="49"/>
    </row>
    <row r="976" spans="2:5">
      <c r="B976" s="49"/>
      <c r="D976" s="49"/>
      <c r="E976" s="49"/>
    </row>
    <row r="977" spans="2:5">
      <c r="B977" s="49"/>
      <c r="D977" s="49"/>
      <c r="E977" s="49"/>
    </row>
    <row r="978" spans="2:5">
      <c r="B978" s="49"/>
      <c r="D978" s="49"/>
      <c r="E978" s="49"/>
    </row>
    <row r="979" spans="2:5">
      <c r="B979" s="49"/>
      <c r="D979" s="49"/>
      <c r="E979" s="49"/>
    </row>
    <row r="980" spans="2:5">
      <c r="B980" s="49"/>
      <c r="D980" s="49"/>
      <c r="E980" s="49"/>
    </row>
    <row r="981" spans="2:5">
      <c r="B981" s="49"/>
      <c r="D981" s="49"/>
      <c r="E981" s="49"/>
    </row>
    <row r="982" spans="2:5">
      <c r="B982" s="49"/>
      <c r="D982" s="49"/>
      <c r="E982" s="49"/>
    </row>
    <row r="983" spans="2:5">
      <c r="B983" s="49"/>
      <c r="D983" s="49"/>
      <c r="E983" s="49"/>
    </row>
    <row r="984" spans="2:5">
      <c r="B984" s="49"/>
      <c r="D984" s="49"/>
      <c r="E984" s="49"/>
    </row>
    <row r="985" spans="2:5">
      <c r="B985" s="49"/>
      <c r="D985" s="49"/>
      <c r="E985" s="49"/>
    </row>
    <row r="986" spans="2:5">
      <c r="B986" s="49"/>
      <c r="D986" s="49"/>
      <c r="E986" s="49"/>
    </row>
    <row r="987" spans="2:5">
      <c r="B987" s="49"/>
      <c r="D987" s="49"/>
      <c r="E987" s="49"/>
    </row>
    <row r="988" spans="2:5">
      <c r="B988" s="49"/>
      <c r="D988" s="49"/>
      <c r="E988" s="49"/>
    </row>
    <row r="989" spans="2:5">
      <c r="B989" s="49"/>
      <c r="D989" s="49"/>
      <c r="E989" s="49"/>
    </row>
    <row r="990" spans="2:5">
      <c r="B990" s="49"/>
      <c r="D990" s="49"/>
      <c r="E990" s="49"/>
    </row>
    <row r="991" spans="2:5">
      <c r="B991" s="49"/>
      <c r="D991" s="49"/>
      <c r="E991" s="49"/>
    </row>
    <row r="992" spans="2:5">
      <c r="B992" s="49"/>
      <c r="D992" s="49"/>
      <c r="E992" s="49"/>
    </row>
    <row r="993" spans="2:5">
      <c r="B993" s="49"/>
      <c r="D993" s="49"/>
      <c r="E993" s="49"/>
    </row>
    <row r="994" spans="2:5">
      <c r="B994" s="49"/>
      <c r="D994" s="49"/>
      <c r="E994" s="49"/>
    </row>
    <row r="995" spans="2:5">
      <c r="B995" s="49"/>
      <c r="D995" s="49"/>
      <c r="E995" s="49"/>
    </row>
    <row r="996" spans="2:5">
      <c r="B996" s="49"/>
      <c r="D996" s="49"/>
      <c r="E996" s="49"/>
    </row>
    <row r="997" spans="2:5">
      <c r="B997" s="49"/>
      <c r="D997" s="49"/>
      <c r="E997" s="49"/>
    </row>
    <row r="998" spans="2:5">
      <c r="B998" s="49"/>
      <c r="D998" s="49"/>
      <c r="E998" s="49"/>
    </row>
    <row r="999" spans="2:5">
      <c r="B999" s="49"/>
      <c r="D999" s="49"/>
      <c r="E999" s="49"/>
    </row>
    <row r="1000" spans="2:5">
      <c r="B1000" s="49"/>
      <c r="D1000" s="49"/>
      <c r="E1000" s="49"/>
    </row>
  </sheetData>
  <customSheetViews>
    <customSheetView guid="{4E6A1557-6773-4502-882E-9010BDEFD330}" filter="1" showAutoFilter="1">
      <pageMargins left="0.511811024" right="0.511811024" top="0.78740157499999996" bottom="0.78740157499999996" header="0.31496062000000002" footer="0.31496062000000002"/>
      <autoFilter ref="A1:F71"/>
    </customSheetView>
    <customSheetView guid="{19CD10D7-310B-4C3A-994F-C08349CC898A}" filter="1" showAutoFilter="1">
      <pageMargins left="0.511811024" right="0.511811024" top="0.78740157499999996" bottom="0.78740157499999996" header="0.31496062000000002" footer="0.31496062000000002"/>
      <autoFilter ref="A1:F71"/>
    </customSheetView>
  </customSheetViews>
  <dataValidations count="1">
    <dataValidation type="list" allowBlank="1" showErrorMessage="1" sqref="E2:E71">
      <formula1>"COMGRAD-CIC,INA,INT,MAT,QUI"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" customWidth="1"/>
    <col min="2" max="2" width="66.28515625" customWidth="1"/>
    <col min="5" max="5" width="124.5703125" customWidth="1"/>
  </cols>
  <sheetData>
    <row r="1" spans="1:28" ht="12.75">
      <c r="A1" s="107" t="s">
        <v>721</v>
      </c>
      <c r="B1" s="54" t="s">
        <v>722</v>
      </c>
      <c r="C1" s="108" t="s">
        <v>304</v>
      </c>
      <c r="D1" s="108" t="s">
        <v>723</v>
      </c>
      <c r="E1" s="108" t="s">
        <v>724</v>
      </c>
      <c r="F1" s="108" t="s">
        <v>725</v>
      </c>
      <c r="G1" s="108" t="s">
        <v>726</v>
      </c>
      <c r="H1" s="108" t="s">
        <v>727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spans="1:28" ht="12.75" hidden="1">
      <c r="A2" s="13" t="s">
        <v>728</v>
      </c>
      <c r="B2" s="12" t="s">
        <v>729</v>
      </c>
      <c r="C2" s="109" t="s">
        <v>307</v>
      </c>
      <c r="D2" s="109" t="s">
        <v>730</v>
      </c>
      <c r="E2" s="12" t="s">
        <v>731</v>
      </c>
      <c r="F2" s="109" t="s">
        <v>732</v>
      </c>
      <c r="G2" s="109" t="s">
        <v>733</v>
      </c>
      <c r="H2" s="109">
        <v>4</v>
      </c>
    </row>
    <row r="3" spans="1:28" ht="12.75" hidden="1">
      <c r="A3" s="110" t="s">
        <v>734</v>
      </c>
      <c r="B3" s="12" t="s">
        <v>735</v>
      </c>
      <c r="C3" s="109" t="s">
        <v>307</v>
      </c>
      <c r="D3" s="109" t="s">
        <v>736</v>
      </c>
      <c r="E3" s="109" t="s">
        <v>737</v>
      </c>
      <c r="F3" s="109" t="s">
        <v>732</v>
      </c>
      <c r="G3" s="109" t="s">
        <v>733</v>
      </c>
      <c r="H3" s="109">
        <v>2</v>
      </c>
    </row>
    <row r="4" spans="1:28" ht="12.75">
      <c r="A4" s="110"/>
      <c r="B4" s="12" t="s">
        <v>738</v>
      </c>
      <c r="C4" s="109" t="s">
        <v>307</v>
      </c>
      <c r="D4" s="109" t="s">
        <v>739</v>
      </c>
      <c r="E4" s="109" t="s">
        <v>740</v>
      </c>
      <c r="F4" s="109" t="s">
        <v>732</v>
      </c>
      <c r="G4" s="109" t="s">
        <v>733</v>
      </c>
      <c r="H4" s="109">
        <v>8</v>
      </c>
    </row>
    <row r="5" spans="1:28" ht="12.75">
      <c r="A5" s="13" t="s">
        <v>734</v>
      </c>
      <c r="B5" s="12" t="s">
        <v>741</v>
      </c>
      <c r="C5" s="109" t="s">
        <v>307</v>
      </c>
      <c r="D5" s="109" t="s">
        <v>742</v>
      </c>
      <c r="E5" s="109" t="s">
        <v>743</v>
      </c>
      <c r="F5" s="109" t="s">
        <v>732</v>
      </c>
      <c r="G5" s="109" t="s">
        <v>733</v>
      </c>
      <c r="H5" s="109">
        <v>8</v>
      </c>
    </row>
    <row r="6" spans="1:28" ht="12.75">
      <c r="A6" s="13" t="s">
        <v>734</v>
      </c>
      <c r="B6" s="12" t="s">
        <v>744</v>
      </c>
      <c r="C6" s="109" t="s">
        <v>307</v>
      </c>
      <c r="D6" s="109" t="s">
        <v>745</v>
      </c>
      <c r="E6" s="109" t="s">
        <v>746</v>
      </c>
      <c r="F6" s="109" t="s">
        <v>732</v>
      </c>
      <c r="G6" s="109" t="s">
        <v>733</v>
      </c>
      <c r="H6" s="109">
        <v>16</v>
      </c>
    </row>
    <row r="7" spans="1:28" ht="12.75">
      <c r="A7" s="13" t="s">
        <v>734</v>
      </c>
      <c r="B7" s="12" t="s">
        <v>747</v>
      </c>
      <c r="C7" s="109" t="s">
        <v>307</v>
      </c>
      <c r="D7" s="109" t="s">
        <v>39</v>
      </c>
      <c r="E7" s="109" t="s">
        <v>748</v>
      </c>
      <c r="F7" s="109" t="s">
        <v>732</v>
      </c>
      <c r="G7" s="109" t="s">
        <v>733</v>
      </c>
      <c r="H7" s="109">
        <v>4</v>
      </c>
    </row>
    <row r="8" spans="1:28" ht="12.75" hidden="1">
      <c r="A8" s="13" t="s">
        <v>728</v>
      </c>
      <c r="B8" s="12" t="s">
        <v>749</v>
      </c>
      <c r="C8" s="109" t="s">
        <v>307</v>
      </c>
      <c r="D8" s="109" t="s">
        <v>750</v>
      </c>
      <c r="E8" s="109" t="s">
        <v>751</v>
      </c>
      <c r="F8" s="109" t="s">
        <v>732</v>
      </c>
      <c r="G8" s="109" t="s">
        <v>733</v>
      </c>
      <c r="H8" s="109">
        <v>12</v>
      </c>
    </row>
    <row r="9" spans="1:28" ht="12.75">
      <c r="A9" s="110"/>
      <c r="B9" s="12" t="s">
        <v>741</v>
      </c>
      <c r="C9" s="109" t="s">
        <v>307</v>
      </c>
      <c r="D9" s="109" t="s">
        <v>752</v>
      </c>
      <c r="E9" s="109" t="s">
        <v>753</v>
      </c>
      <c r="F9" s="109" t="s">
        <v>732</v>
      </c>
      <c r="G9" s="109" t="s">
        <v>733</v>
      </c>
      <c r="H9" s="109">
        <v>12</v>
      </c>
    </row>
    <row r="10" spans="1:28" ht="12.75" hidden="1">
      <c r="A10" s="110" t="s">
        <v>734</v>
      </c>
      <c r="B10" s="12" t="s">
        <v>754</v>
      </c>
      <c r="C10" s="109" t="s">
        <v>307</v>
      </c>
      <c r="D10" s="109" t="s">
        <v>755</v>
      </c>
      <c r="E10" s="109" t="s">
        <v>756</v>
      </c>
      <c r="F10" s="109" t="s">
        <v>732</v>
      </c>
      <c r="G10" s="109" t="s">
        <v>733</v>
      </c>
      <c r="H10" s="109">
        <v>10</v>
      </c>
    </row>
    <row r="11" spans="1:28" ht="12.75" hidden="1">
      <c r="A11" s="110" t="s">
        <v>734</v>
      </c>
      <c r="B11" s="12" t="s">
        <v>754</v>
      </c>
      <c r="C11" s="109" t="s">
        <v>307</v>
      </c>
      <c r="D11" s="109" t="s">
        <v>757</v>
      </c>
      <c r="E11" s="109" t="s">
        <v>758</v>
      </c>
      <c r="F11" s="109" t="s">
        <v>732</v>
      </c>
      <c r="G11" s="109" t="s">
        <v>733</v>
      </c>
      <c r="H11" s="109">
        <v>8</v>
      </c>
    </row>
    <row r="12" spans="1:28" ht="12.75" hidden="1">
      <c r="A12" s="110" t="s">
        <v>734</v>
      </c>
      <c r="B12" s="12" t="s">
        <v>754</v>
      </c>
      <c r="C12" s="109" t="s">
        <v>307</v>
      </c>
      <c r="D12" s="109" t="s">
        <v>759</v>
      </c>
      <c r="E12" s="109" t="s">
        <v>760</v>
      </c>
      <c r="F12" s="109" t="s">
        <v>732</v>
      </c>
      <c r="G12" s="109" t="s">
        <v>733</v>
      </c>
      <c r="H12" s="109">
        <v>6</v>
      </c>
    </row>
    <row r="13" spans="1:28" ht="12.75" hidden="1">
      <c r="A13" s="110" t="s">
        <v>734</v>
      </c>
      <c r="B13" s="12" t="s">
        <v>754</v>
      </c>
      <c r="C13" s="109" t="s">
        <v>307</v>
      </c>
      <c r="D13" s="109" t="s">
        <v>761</v>
      </c>
      <c r="E13" s="109" t="s">
        <v>762</v>
      </c>
      <c r="F13" s="109" t="s">
        <v>732</v>
      </c>
      <c r="G13" s="109" t="s">
        <v>733</v>
      </c>
      <c r="H13" s="109">
        <v>10</v>
      </c>
    </row>
    <row r="14" spans="1:28" ht="12.75">
      <c r="A14" s="110"/>
      <c r="B14" s="111" t="s">
        <v>741</v>
      </c>
      <c r="C14" s="109" t="s">
        <v>307</v>
      </c>
      <c r="D14" s="109" t="s">
        <v>763</v>
      </c>
      <c r="E14" s="109" t="s">
        <v>764</v>
      </c>
      <c r="F14" s="109" t="s">
        <v>732</v>
      </c>
      <c r="G14" s="109" t="s">
        <v>726</v>
      </c>
      <c r="H14" s="109">
        <v>6</v>
      </c>
    </row>
    <row r="15" spans="1:28" ht="12.75">
      <c r="A15" s="110"/>
      <c r="B15" s="111" t="s">
        <v>741</v>
      </c>
      <c r="C15" s="109" t="s">
        <v>307</v>
      </c>
      <c r="D15" s="109" t="s">
        <v>765</v>
      </c>
      <c r="E15" s="109" t="s">
        <v>766</v>
      </c>
      <c r="F15" s="109" t="s">
        <v>732</v>
      </c>
      <c r="G15" s="109" t="s">
        <v>726</v>
      </c>
      <c r="H15" s="109">
        <v>8</v>
      </c>
    </row>
    <row r="16" spans="1:28" ht="12.75">
      <c r="A16" s="110"/>
      <c r="B16" s="12" t="s">
        <v>767</v>
      </c>
      <c r="C16" s="109" t="s">
        <v>442</v>
      </c>
      <c r="D16" s="109" t="s">
        <v>768</v>
      </c>
      <c r="E16" s="109" t="s">
        <v>769</v>
      </c>
      <c r="F16" s="109" t="s">
        <v>732</v>
      </c>
      <c r="G16" s="109" t="s">
        <v>733</v>
      </c>
      <c r="H16" s="109">
        <v>8</v>
      </c>
    </row>
    <row r="17" spans="1:8" ht="12.75" hidden="1">
      <c r="A17" s="110" t="s">
        <v>734</v>
      </c>
      <c r="B17" s="12" t="s">
        <v>770</v>
      </c>
      <c r="C17" s="109" t="s">
        <v>357</v>
      </c>
      <c r="D17" s="109" t="s">
        <v>771</v>
      </c>
      <c r="E17" s="109" t="s">
        <v>772</v>
      </c>
      <c r="F17" s="109" t="s">
        <v>732</v>
      </c>
      <c r="G17" s="109" t="s">
        <v>726</v>
      </c>
      <c r="H17" s="109">
        <v>1</v>
      </c>
    </row>
    <row r="18" spans="1:8" ht="12.75">
      <c r="A18" s="110"/>
      <c r="B18" s="12" t="s">
        <v>773</v>
      </c>
      <c r="C18" s="109" t="s">
        <v>357</v>
      </c>
      <c r="D18" s="109" t="s">
        <v>774</v>
      </c>
      <c r="E18" s="109" t="s">
        <v>775</v>
      </c>
      <c r="F18" s="109" t="s">
        <v>732</v>
      </c>
      <c r="G18" s="109" t="s">
        <v>726</v>
      </c>
      <c r="H18" s="109">
        <v>3</v>
      </c>
    </row>
    <row r="19" spans="1:8" ht="12.75" hidden="1">
      <c r="A19" s="110" t="s">
        <v>734</v>
      </c>
      <c r="B19" s="12" t="s">
        <v>776</v>
      </c>
      <c r="C19" s="109" t="s">
        <v>357</v>
      </c>
      <c r="D19" s="109" t="s">
        <v>777</v>
      </c>
      <c r="E19" s="109" t="s">
        <v>778</v>
      </c>
      <c r="F19" s="109" t="s">
        <v>732</v>
      </c>
      <c r="G19" s="109" t="s">
        <v>733</v>
      </c>
      <c r="H19" s="109">
        <v>6</v>
      </c>
    </row>
    <row r="20" spans="1:8" ht="12.75" hidden="1">
      <c r="A20" s="110" t="s">
        <v>734</v>
      </c>
      <c r="B20" s="12" t="s">
        <v>776</v>
      </c>
      <c r="C20" s="109" t="s">
        <v>357</v>
      </c>
      <c r="D20" s="109" t="s">
        <v>779</v>
      </c>
      <c r="E20" s="109" t="s">
        <v>780</v>
      </c>
      <c r="F20" s="109" t="s">
        <v>732</v>
      </c>
      <c r="G20" s="109" t="s">
        <v>733</v>
      </c>
      <c r="H20" s="109">
        <v>2</v>
      </c>
    </row>
    <row r="21" spans="1:8" ht="12.75" hidden="1">
      <c r="A21" s="110" t="s">
        <v>734</v>
      </c>
      <c r="B21" s="12" t="s">
        <v>776</v>
      </c>
      <c r="C21" s="109" t="s">
        <v>357</v>
      </c>
      <c r="D21" s="109" t="s">
        <v>781</v>
      </c>
      <c r="E21" s="109" t="s">
        <v>782</v>
      </c>
      <c r="F21" s="109" t="s">
        <v>732</v>
      </c>
      <c r="G21" s="109" t="s">
        <v>733</v>
      </c>
      <c r="H21" s="109">
        <v>6</v>
      </c>
    </row>
    <row r="22" spans="1:8" ht="12.75" hidden="1">
      <c r="A22" s="110" t="s">
        <v>734</v>
      </c>
      <c r="B22" s="12" t="s">
        <v>776</v>
      </c>
      <c r="C22" s="109" t="s">
        <v>357</v>
      </c>
      <c r="D22" s="109" t="s">
        <v>783</v>
      </c>
      <c r="E22" s="109" t="s">
        <v>784</v>
      </c>
      <c r="F22" s="109" t="s">
        <v>732</v>
      </c>
      <c r="G22" s="109" t="s">
        <v>733</v>
      </c>
      <c r="H22" s="109">
        <v>10</v>
      </c>
    </row>
    <row r="23" spans="1:8" ht="12.75" hidden="1">
      <c r="A23" s="110" t="s">
        <v>734</v>
      </c>
      <c r="B23" s="12" t="s">
        <v>776</v>
      </c>
      <c r="C23" s="109" t="s">
        <v>357</v>
      </c>
      <c r="D23" s="109" t="s">
        <v>785</v>
      </c>
      <c r="E23" s="109" t="s">
        <v>786</v>
      </c>
      <c r="F23" s="109" t="s">
        <v>732</v>
      </c>
      <c r="G23" s="109" t="s">
        <v>733</v>
      </c>
      <c r="H23" s="109">
        <v>20</v>
      </c>
    </row>
    <row r="24" spans="1:8" ht="12.75" hidden="1">
      <c r="A24" s="110" t="s">
        <v>734</v>
      </c>
      <c r="B24" s="12" t="s">
        <v>776</v>
      </c>
      <c r="C24" s="109" t="s">
        <v>357</v>
      </c>
      <c r="D24" s="109" t="s">
        <v>787</v>
      </c>
      <c r="E24" s="109" t="s">
        <v>788</v>
      </c>
      <c r="F24" s="109" t="s">
        <v>732</v>
      </c>
      <c r="G24" s="109" t="s">
        <v>733</v>
      </c>
      <c r="H24" s="109">
        <v>6</v>
      </c>
    </row>
    <row r="25" spans="1:8" ht="12.75" hidden="1">
      <c r="A25" s="110" t="s">
        <v>734</v>
      </c>
      <c r="B25" s="12" t="s">
        <v>776</v>
      </c>
      <c r="C25" s="109" t="s">
        <v>357</v>
      </c>
      <c r="D25" s="109" t="s">
        <v>789</v>
      </c>
      <c r="E25" s="109" t="s">
        <v>790</v>
      </c>
      <c r="F25" s="109" t="s">
        <v>732</v>
      </c>
      <c r="G25" s="109" t="s">
        <v>733</v>
      </c>
      <c r="H25" s="109">
        <v>12</v>
      </c>
    </row>
    <row r="26" spans="1:8" ht="12.75" hidden="1">
      <c r="A26" s="110" t="s">
        <v>734</v>
      </c>
      <c r="B26" s="12" t="s">
        <v>776</v>
      </c>
      <c r="C26" s="109" t="s">
        <v>357</v>
      </c>
      <c r="D26" s="109" t="s">
        <v>791</v>
      </c>
      <c r="E26" s="109" t="s">
        <v>792</v>
      </c>
      <c r="F26" s="109" t="s">
        <v>732</v>
      </c>
      <c r="G26" s="109" t="s">
        <v>733</v>
      </c>
      <c r="H26" s="109">
        <v>12</v>
      </c>
    </row>
    <row r="27" spans="1:8" ht="12.75">
      <c r="A27" s="110"/>
      <c r="B27" s="12" t="s">
        <v>793</v>
      </c>
      <c r="C27" s="109" t="s">
        <v>794</v>
      </c>
      <c r="D27" s="109" t="s">
        <v>795</v>
      </c>
      <c r="E27" s="109" t="s">
        <v>796</v>
      </c>
      <c r="F27" s="109" t="s">
        <v>732</v>
      </c>
      <c r="H27" s="109">
        <v>6</v>
      </c>
    </row>
    <row r="28" spans="1:8" ht="12.75">
      <c r="A28" s="110"/>
      <c r="B28" s="12" t="s">
        <v>797</v>
      </c>
      <c r="C28" s="109" t="s">
        <v>794</v>
      </c>
      <c r="D28" s="109" t="s">
        <v>798</v>
      </c>
      <c r="E28" s="109" t="s">
        <v>799</v>
      </c>
      <c r="F28" s="109" t="s">
        <v>732</v>
      </c>
      <c r="H28" s="109">
        <v>6</v>
      </c>
    </row>
    <row r="29" spans="1:8" ht="12.75">
      <c r="A29" s="110"/>
      <c r="B29" s="12" t="s">
        <v>797</v>
      </c>
      <c r="C29" s="109" t="s">
        <v>794</v>
      </c>
      <c r="D29" s="109" t="s">
        <v>800</v>
      </c>
      <c r="E29" s="109" t="s">
        <v>801</v>
      </c>
      <c r="F29" s="109" t="s">
        <v>732</v>
      </c>
      <c r="H29" s="109">
        <v>6</v>
      </c>
    </row>
    <row r="30" spans="1:8" ht="12.75">
      <c r="A30" s="110"/>
      <c r="B30" s="12" t="s">
        <v>797</v>
      </c>
      <c r="C30" s="109" t="s">
        <v>794</v>
      </c>
      <c r="D30" s="109" t="s">
        <v>802</v>
      </c>
      <c r="E30" s="109" t="s">
        <v>803</v>
      </c>
      <c r="F30" s="109" t="s">
        <v>732</v>
      </c>
      <c r="H30" s="109">
        <v>6</v>
      </c>
    </row>
    <row r="31" spans="1:8" ht="12.75">
      <c r="A31" s="110"/>
      <c r="B31" s="12" t="s">
        <v>804</v>
      </c>
      <c r="C31" s="109" t="s">
        <v>794</v>
      </c>
      <c r="D31" s="109" t="s">
        <v>805</v>
      </c>
      <c r="E31" s="109" t="s">
        <v>806</v>
      </c>
      <c r="F31" s="109" t="s">
        <v>732</v>
      </c>
      <c r="H31" s="109">
        <v>6</v>
      </c>
    </row>
    <row r="32" spans="1:8" ht="12.75">
      <c r="A32" s="110"/>
      <c r="B32" s="12" t="s">
        <v>807</v>
      </c>
      <c r="C32" s="109" t="s">
        <v>794</v>
      </c>
      <c r="D32" s="109" t="s">
        <v>808</v>
      </c>
      <c r="E32" s="109" t="s">
        <v>809</v>
      </c>
      <c r="F32" s="109" t="s">
        <v>732</v>
      </c>
      <c r="H32" s="109">
        <v>6</v>
      </c>
    </row>
    <row r="33" spans="1:8" ht="12.75">
      <c r="A33" s="110"/>
      <c r="B33" s="12" t="s">
        <v>807</v>
      </c>
      <c r="C33" s="109" t="s">
        <v>794</v>
      </c>
      <c r="D33" s="109" t="s">
        <v>810</v>
      </c>
      <c r="E33" s="109" t="s">
        <v>811</v>
      </c>
      <c r="F33" s="109" t="s">
        <v>732</v>
      </c>
    </row>
    <row r="34" spans="1:8" ht="12.75">
      <c r="A34" s="110"/>
      <c r="B34" s="12" t="s">
        <v>807</v>
      </c>
      <c r="C34" s="109" t="s">
        <v>794</v>
      </c>
      <c r="D34" s="109" t="s">
        <v>812</v>
      </c>
      <c r="E34" s="109" t="s">
        <v>813</v>
      </c>
      <c r="F34" s="109" t="s">
        <v>732</v>
      </c>
      <c r="H34" s="109">
        <v>2</v>
      </c>
    </row>
    <row r="35" spans="1:8" ht="12.75">
      <c r="A35" s="110"/>
      <c r="B35" s="12" t="s">
        <v>797</v>
      </c>
      <c r="C35" s="109" t="s">
        <v>338</v>
      </c>
      <c r="D35" s="109" t="s">
        <v>814</v>
      </c>
      <c r="E35" s="109" t="s">
        <v>815</v>
      </c>
      <c r="F35" s="109" t="s">
        <v>732</v>
      </c>
      <c r="G35" s="109" t="s">
        <v>733</v>
      </c>
      <c r="H35" s="109">
        <v>2</v>
      </c>
    </row>
    <row r="36" spans="1:8" ht="12.75">
      <c r="A36" s="110"/>
      <c r="B36" s="12" t="s">
        <v>797</v>
      </c>
      <c r="C36" s="109" t="s">
        <v>338</v>
      </c>
      <c r="D36" s="109" t="s">
        <v>816</v>
      </c>
      <c r="E36" s="109" t="s">
        <v>817</v>
      </c>
      <c r="F36" s="109" t="s">
        <v>732</v>
      </c>
      <c r="G36" s="109" t="s">
        <v>733</v>
      </c>
      <c r="H36" s="109">
        <v>8</v>
      </c>
    </row>
    <row r="37" spans="1:8" ht="12.75">
      <c r="A37" s="110"/>
      <c r="B37" s="12" t="s">
        <v>797</v>
      </c>
      <c r="C37" s="109" t="s">
        <v>338</v>
      </c>
      <c r="D37" s="109" t="s">
        <v>818</v>
      </c>
      <c r="E37" s="109" t="s">
        <v>819</v>
      </c>
      <c r="F37" s="109" t="s">
        <v>732</v>
      </c>
      <c r="G37" s="109" t="s">
        <v>733</v>
      </c>
      <c r="H37" s="109">
        <v>8</v>
      </c>
    </row>
    <row r="38" spans="1:8" ht="12.75">
      <c r="A38" s="110"/>
      <c r="B38" s="12" t="s">
        <v>797</v>
      </c>
      <c r="C38" s="109" t="s">
        <v>338</v>
      </c>
      <c r="D38" s="109" t="s">
        <v>820</v>
      </c>
      <c r="E38" s="109" t="s">
        <v>821</v>
      </c>
      <c r="F38" s="109" t="s">
        <v>732</v>
      </c>
      <c r="G38" s="109" t="s">
        <v>733</v>
      </c>
      <c r="H38" s="109">
        <v>8</v>
      </c>
    </row>
    <row r="39" spans="1:8" ht="12.75">
      <c r="A39" s="110"/>
      <c r="B39" s="12" t="s">
        <v>822</v>
      </c>
      <c r="C39" s="109" t="s">
        <v>338</v>
      </c>
      <c r="D39" s="109" t="s">
        <v>823</v>
      </c>
      <c r="E39" s="109" t="s">
        <v>824</v>
      </c>
      <c r="F39" s="109" t="s">
        <v>732</v>
      </c>
      <c r="G39" s="109" t="s">
        <v>733</v>
      </c>
      <c r="H39" s="109">
        <v>8</v>
      </c>
    </row>
    <row r="40" spans="1:8" ht="12.75">
      <c r="A40" s="110"/>
      <c r="B40" s="12" t="s">
        <v>825</v>
      </c>
      <c r="C40" s="109" t="s">
        <v>338</v>
      </c>
      <c r="D40" s="109" t="s">
        <v>826</v>
      </c>
      <c r="E40" s="109" t="s">
        <v>827</v>
      </c>
      <c r="F40" s="109" t="s">
        <v>732</v>
      </c>
      <c r="G40" s="109" t="s">
        <v>733</v>
      </c>
      <c r="H40" s="109">
        <v>8</v>
      </c>
    </row>
    <row r="41" spans="1:8" ht="12.75">
      <c r="A41" s="110"/>
      <c r="B41" s="12" t="s">
        <v>822</v>
      </c>
      <c r="C41" s="109" t="s">
        <v>338</v>
      </c>
      <c r="D41" s="109" t="s">
        <v>828</v>
      </c>
      <c r="E41" s="109" t="s">
        <v>829</v>
      </c>
      <c r="F41" s="109" t="s">
        <v>732</v>
      </c>
      <c r="G41" s="109" t="s">
        <v>733</v>
      </c>
      <c r="H41" s="109">
        <v>4</v>
      </c>
    </row>
    <row r="42" spans="1:8" ht="12.75">
      <c r="A42" s="110"/>
      <c r="B42" s="12" t="s">
        <v>807</v>
      </c>
      <c r="C42" s="109" t="s">
        <v>338</v>
      </c>
      <c r="D42" s="109" t="s">
        <v>830</v>
      </c>
      <c r="E42" s="109" t="s">
        <v>831</v>
      </c>
      <c r="F42" s="109" t="s">
        <v>732</v>
      </c>
      <c r="G42" s="109" t="s">
        <v>733</v>
      </c>
      <c r="H42" s="109">
        <v>4</v>
      </c>
    </row>
    <row r="43" spans="1:8" ht="12.75">
      <c r="A43" s="110"/>
      <c r="B43" s="12" t="s">
        <v>797</v>
      </c>
      <c r="C43" s="109" t="s">
        <v>338</v>
      </c>
      <c r="D43" s="109" t="s">
        <v>832</v>
      </c>
      <c r="E43" s="109" t="s">
        <v>833</v>
      </c>
      <c r="F43" s="109" t="s">
        <v>732</v>
      </c>
      <c r="G43" s="109" t="s">
        <v>733</v>
      </c>
      <c r="H43" s="109">
        <v>4</v>
      </c>
    </row>
    <row r="44" spans="1:8" ht="12.75">
      <c r="A44" s="110"/>
      <c r="B44" s="12" t="s">
        <v>807</v>
      </c>
      <c r="C44" s="109" t="s">
        <v>338</v>
      </c>
      <c r="D44" s="109" t="s">
        <v>834</v>
      </c>
      <c r="E44" s="109" t="s">
        <v>835</v>
      </c>
      <c r="F44" s="109" t="s">
        <v>732</v>
      </c>
      <c r="G44" s="109" t="s">
        <v>726</v>
      </c>
      <c r="H44" s="109">
        <v>2</v>
      </c>
    </row>
    <row r="45" spans="1:8" ht="12.75">
      <c r="A45" s="110"/>
      <c r="B45" s="12" t="s">
        <v>807</v>
      </c>
      <c r="C45" s="109" t="s">
        <v>338</v>
      </c>
      <c r="D45" s="109" t="s">
        <v>836</v>
      </c>
      <c r="E45" s="109" t="s">
        <v>837</v>
      </c>
      <c r="F45" s="109" t="s">
        <v>732</v>
      </c>
      <c r="G45" s="109" t="s">
        <v>726</v>
      </c>
      <c r="H45" s="109">
        <v>2</v>
      </c>
    </row>
    <row r="46" spans="1:8" ht="12.75">
      <c r="A46" s="110"/>
      <c r="B46" s="109"/>
      <c r="C46" s="109" t="s">
        <v>168</v>
      </c>
      <c r="D46" s="109" t="s">
        <v>838</v>
      </c>
      <c r="E46" s="109" t="s">
        <v>839</v>
      </c>
      <c r="F46" s="109" t="s">
        <v>732</v>
      </c>
      <c r="G46" s="109" t="s">
        <v>733</v>
      </c>
      <c r="H46" s="109">
        <v>4</v>
      </c>
    </row>
    <row r="47" spans="1:8" ht="12.75">
      <c r="A47" s="110"/>
      <c r="B47" s="12" t="s">
        <v>840</v>
      </c>
      <c r="C47" s="109" t="s">
        <v>168</v>
      </c>
      <c r="D47" s="109" t="s">
        <v>841</v>
      </c>
      <c r="E47" s="109" t="s">
        <v>842</v>
      </c>
      <c r="F47" s="109" t="s">
        <v>732</v>
      </c>
      <c r="G47" s="109" t="s">
        <v>843</v>
      </c>
      <c r="H47" s="109">
        <v>6</v>
      </c>
    </row>
    <row r="48" spans="1:8" ht="12.75">
      <c r="A48" s="110"/>
      <c r="B48" s="12" t="s">
        <v>844</v>
      </c>
      <c r="C48" s="109" t="s">
        <v>168</v>
      </c>
      <c r="D48" s="109" t="s">
        <v>845</v>
      </c>
      <c r="E48" s="109" t="s">
        <v>846</v>
      </c>
      <c r="F48" s="109" t="s">
        <v>732</v>
      </c>
      <c r="G48" s="109" t="s">
        <v>726</v>
      </c>
      <c r="H48" s="109">
        <v>8</v>
      </c>
    </row>
    <row r="49" spans="1:8" ht="12.75">
      <c r="A49" s="110"/>
      <c r="B49" s="12" t="s">
        <v>847</v>
      </c>
      <c r="C49" s="109" t="s">
        <v>168</v>
      </c>
      <c r="D49" s="109" t="s">
        <v>848</v>
      </c>
      <c r="E49" s="109" t="s">
        <v>849</v>
      </c>
      <c r="F49" s="109" t="s">
        <v>732</v>
      </c>
      <c r="G49" s="109" t="s">
        <v>726</v>
      </c>
      <c r="H49" s="109">
        <v>4</v>
      </c>
    </row>
    <row r="50" spans="1:8" ht="12.75">
      <c r="A50" s="110"/>
      <c r="C50" s="109" t="s">
        <v>168</v>
      </c>
      <c r="D50" s="109" t="s">
        <v>850</v>
      </c>
      <c r="E50" s="109" t="s">
        <v>851</v>
      </c>
      <c r="F50" s="109" t="s">
        <v>732</v>
      </c>
      <c r="G50" s="109" t="s">
        <v>733</v>
      </c>
      <c r="H50" s="109">
        <v>4</v>
      </c>
    </row>
    <row r="51" spans="1:8" ht="12.75">
      <c r="A51" s="110"/>
      <c r="B51" s="109"/>
      <c r="C51" s="109" t="s">
        <v>413</v>
      </c>
      <c r="D51" s="109" t="s">
        <v>852</v>
      </c>
      <c r="E51" s="109" t="s">
        <v>853</v>
      </c>
      <c r="F51" s="109" t="s">
        <v>732</v>
      </c>
      <c r="G51" s="109" t="s">
        <v>733</v>
      </c>
      <c r="H51" s="109">
        <v>4</v>
      </c>
    </row>
    <row r="52" spans="1:8" ht="12.75">
      <c r="A52" s="110"/>
      <c r="B52" s="109"/>
      <c r="C52" s="109" t="s">
        <v>413</v>
      </c>
      <c r="D52" s="109" t="s">
        <v>854</v>
      </c>
      <c r="E52" s="109" t="s">
        <v>855</v>
      </c>
      <c r="F52" s="109" t="s">
        <v>732</v>
      </c>
      <c r="G52" s="109" t="s">
        <v>733</v>
      </c>
      <c r="H52" s="109">
        <v>4</v>
      </c>
    </row>
    <row r="53" spans="1:8" ht="12.75">
      <c r="A53" s="110"/>
      <c r="B53" s="109"/>
      <c r="C53" s="109" t="s">
        <v>413</v>
      </c>
      <c r="D53" s="109" t="s">
        <v>856</v>
      </c>
      <c r="E53" s="109" t="s">
        <v>857</v>
      </c>
      <c r="F53" s="109" t="s">
        <v>732</v>
      </c>
      <c r="G53" s="109" t="s">
        <v>733</v>
      </c>
      <c r="H53" s="109">
        <v>8</v>
      </c>
    </row>
    <row r="54" spans="1:8" ht="12.75">
      <c r="A54" s="110"/>
      <c r="B54" s="109"/>
      <c r="C54" s="109" t="s">
        <v>413</v>
      </c>
      <c r="D54" s="109" t="s">
        <v>858</v>
      </c>
      <c r="E54" s="109" t="s">
        <v>859</v>
      </c>
      <c r="F54" s="109" t="s">
        <v>732</v>
      </c>
      <c r="G54" s="109" t="s">
        <v>733</v>
      </c>
      <c r="H54" s="109">
        <v>3</v>
      </c>
    </row>
    <row r="55" spans="1:8" ht="12.75">
      <c r="A55" s="110"/>
      <c r="B55" s="109"/>
      <c r="C55" s="109" t="s">
        <v>413</v>
      </c>
      <c r="D55" s="109" t="s">
        <v>860</v>
      </c>
      <c r="E55" s="109" t="s">
        <v>861</v>
      </c>
      <c r="F55" s="109" t="s">
        <v>732</v>
      </c>
      <c r="G55" s="109" t="s">
        <v>733</v>
      </c>
      <c r="H55" s="109">
        <v>7</v>
      </c>
    </row>
    <row r="56" spans="1:8" ht="12.75">
      <c r="A56" s="110"/>
      <c r="B56" s="109"/>
      <c r="C56" s="109" t="s">
        <v>413</v>
      </c>
      <c r="D56" s="109" t="s">
        <v>862</v>
      </c>
      <c r="E56" s="109" t="s">
        <v>863</v>
      </c>
      <c r="F56" s="109" t="s">
        <v>732</v>
      </c>
      <c r="G56" s="109" t="s">
        <v>733</v>
      </c>
      <c r="H56" s="109">
        <v>4</v>
      </c>
    </row>
    <row r="57" spans="1:8" ht="12.75">
      <c r="A57" s="110"/>
      <c r="B57" s="109"/>
      <c r="C57" s="109" t="s">
        <v>413</v>
      </c>
      <c r="D57" s="109" t="s">
        <v>864</v>
      </c>
      <c r="E57" s="109" t="s">
        <v>865</v>
      </c>
      <c r="F57" s="109" t="s">
        <v>732</v>
      </c>
      <c r="G57" s="109" t="s">
        <v>733</v>
      </c>
      <c r="H57" s="109">
        <v>4</v>
      </c>
    </row>
    <row r="58" spans="1:8" ht="12.75">
      <c r="A58" s="110"/>
      <c r="B58" s="109"/>
      <c r="C58" s="109" t="s">
        <v>413</v>
      </c>
      <c r="D58" s="109" t="s">
        <v>866</v>
      </c>
      <c r="E58" s="109" t="s">
        <v>867</v>
      </c>
      <c r="F58" s="109" t="s">
        <v>732</v>
      </c>
      <c r="G58" s="109" t="s">
        <v>733</v>
      </c>
      <c r="H58" s="109">
        <v>3</v>
      </c>
    </row>
    <row r="59" spans="1:8" ht="12.75">
      <c r="A59" s="110"/>
      <c r="B59" s="109"/>
      <c r="C59" s="109" t="s">
        <v>413</v>
      </c>
      <c r="D59" s="109" t="s">
        <v>868</v>
      </c>
      <c r="E59" s="109" t="s">
        <v>869</v>
      </c>
      <c r="F59" s="109" t="s">
        <v>732</v>
      </c>
      <c r="G59" s="109" t="s">
        <v>733</v>
      </c>
      <c r="H59" s="109">
        <v>7</v>
      </c>
    </row>
    <row r="60" spans="1:8" ht="12.75">
      <c r="A60" s="110"/>
      <c r="B60" s="12" t="s">
        <v>870</v>
      </c>
      <c r="C60" s="109" t="s">
        <v>413</v>
      </c>
      <c r="D60" s="109" t="s">
        <v>871</v>
      </c>
      <c r="E60" s="109" t="s">
        <v>872</v>
      </c>
      <c r="F60" s="109" t="s">
        <v>732</v>
      </c>
      <c r="G60" s="109" t="s">
        <v>733</v>
      </c>
      <c r="H60" s="109">
        <v>10</v>
      </c>
    </row>
    <row r="61" spans="1:8" ht="12.75">
      <c r="A61" s="110"/>
      <c r="B61" s="12" t="s">
        <v>870</v>
      </c>
      <c r="C61" s="109" t="s">
        <v>413</v>
      </c>
      <c r="D61" s="109" t="s">
        <v>873</v>
      </c>
      <c r="E61" s="109" t="s">
        <v>874</v>
      </c>
      <c r="F61" s="109" t="s">
        <v>732</v>
      </c>
      <c r="G61" s="109" t="s">
        <v>733</v>
      </c>
      <c r="H61" s="109">
        <v>4</v>
      </c>
    </row>
    <row r="62" spans="1:8" ht="12.75">
      <c r="A62" s="110"/>
      <c r="B62" s="12" t="s">
        <v>870</v>
      </c>
      <c r="C62" s="109" t="s">
        <v>413</v>
      </c>
      <c r="D62" s="109" t="s">
        <v>875</v>
      </c>
      <c r="E62" s="109" t="s">
        <v>876</v>
      </c>
      <c r="F62" s="109" t="s">
        <v>732</v>
      </c>
      <c r="G62" s="109" t="s">
        <v>733</v>
      </c>
      <c r="H62" s="109">
        <v>4</v>
      </c>
    </row>
    <row r="63" spans="1:8" ht="12.75">
      <c r="A63" s="110"/>
      <c r="B63" s="12" t="s">
        <v>870</v>
      </c>
      <c r="C63" s="109" t="s">
        <v>413</v>
      </c>
      <c r="D63" s="109" t="s">
        <v>877</v>
      </c>
      <c r="E63" s="109" t="s">
        <v>878</v>
      </c>
      <c r="F63" s="109" t="s">
        <v>732</v>
      </c>
      <c r="G63" s="109" t="s">
        <v>733</v>
      </c>
      <c r="H63" s="109">
        <v>6</v>
      </c>
    </row>
    <row r="64" spans="1:8" ht="12.75">
      <c r="A64" s="110"/>
      <c r="B64" s="12" t="s">
        <v>870</v>
      </c>
      <c r="C64" s="109" t="s">
        <v>413</v>
      </c>
      <c r="D64" s="109" t="s">
        <v>879</v>
      </c>
      <c r="E64" s="109" t="s">
        <v>880</v>
      </c>
      <c r="F64" s="109" t="s">
        <v>732</v>
      </c>
      <c r="G64" s="109" t="s">
        <v>733</v>
      </c>
      <c r="H64" s="109">
        <v>2</v>
      </c>
    </row>
    <row r="65" spans="1:8" ht="12.75">
      <c r="A65" s="110"/>
      <c r="B65" s="12" t="s">
        <v>870</v>
      </c>
      <c r="C65" s="109" t="s">
        <v>413</v>
      </c>
      <c r="D65" s="109" t="s">
        <v>881</v>
      </c>
      <c r="E65" s="109" t="s">
        <v>882</v>
      </c>
      <c r="F65" s="109" t="s">
        <v>732</v>
      </c>
      <c r="G65" s="109" t="s">
        <v>733</v>
      </c>
      <c r="H65" s="109">
        <v>4</v>
      </c>
    </row>
    <row r="66" spans="1:8" ht="12.75">
      <c r="A66" s="110"/>
      <c r="B66" s="12" t="s">
        <v>870</v>
      </c>
      <c r="C66" s="109" t="s">
        <v>413</v>
      </c>
      <c r="D66" s="109" t="s">
        <v>883</v>
      </c>
      <c r="E66" s="109" t="s">
        <v>884</v>
      </c>
      <c r="F66" s="109" t="s">
        <v>732</v>
      </c>
      <c r="G66" s="109" t="s">
        <v>733</v>
      </c>
      <c r="H66" s="109">
        <v>2</v>
      </c>
    </row>
    <row r="67" spans="1:8" ht="12.75">
      <c r="A67" s="110"/>
      <c r="B67" s="109"/>
      <c r="C67" s="109" t="s">
        <v>413</v>
      </c>
      <c r="D67" s="109" t="s">
        <v>885</v>
      </c>
      <c r="E67" s="109" t="s">
        <v>886</v>
      </c>
      <c r="F67" s="109" t="s">
        <v>732</v>
      </c>
      <c r="G67" s="109" t="s">
        <v>733</v>
      </c>
      <c r="H67" s="109">
        <v>6</v>
      </c>
    </row>
    <row r="68" spans="1:8" ht="12.75">
      <c r="A68" s="110"/>
      <c r="B68" s="109"/>
      <c r="C68" s="109" t="s">
        <v>413</v>
      </c>
      <c r="D68" s="109" t="s">
        <v>887</v>
      </c>
      <c r="E68" s="109" t="s">
        <v>888</v>
      </c>
      <c r="F68" s="109" t="s">
        <v>732</v>
      </c>
      <c r="G68" s="109" t="s">
        <v>733</v>
      </c>
      <c r="H68" s="109">
        <v>2</v>
      </c>
    </row>
    <row r="69" spans="1:8" ht="12.75">
      <c r="A69" s="110"/>
      <c r="B69" s="109"/>
      <c r="C69" s="109" t="s">
        <v>413</v>
      </c>
      <c r="D69" s="109" t="s">
        <v>889</v>
      </c>
      <c r="E69" s="109" t="s">
        <v>890</v>
      </c>
      <c r="F69" s="109" t="s">
        <v>732</v>
      </c>
      <c r="G69" s="109" t="s">
        <v>733</v>
      </c>
      <c r="H69" s="109">
        <v>10</v>
      </c>
    </row>
    <row r="70" spans="1:8" ht="12.75">
      <c r="A70" s="49"/>
      <c r="C70" s="109" t="s">
        <v>891</v>
      </c>
      <c r="D70" s="109" t="s">
        <v>892</v>
      </c>
      <c r="E70" s="109" t="s">
        <v>893</v>
      </c>
      <c r="F70" s="109" t="s">
        <v>732</v>
      </c>
      <c r="G70" s="109" t="s">
        <v>733</v>
      </c>
      <c r="H70" s="109">
        <v>40</v>
      </c>
    </row>
    <row r="71" spans="1:8" ht="12.75">
      <c r="A71" s="110"/>
      <c r="B71" s="12" t="s">
        <v>894</v>
      </c>
      <c r="C71" s="109" t="s">
        <v>891</v>
      </c>
      <c r="D71" s="109" t="s">
        <v>895</v>
      </c>
      <c r="E71" s="109" t="s">
        <v>896</v>
      </c>
      <c r="F71" s="109" t="s">
        <v>732</v>
      </c>
      <c r="G71" s="109" t="s">
        <v>733</v>
      </c>
      <c r="H71" s="109">
        <v>60</v>
      </c>
    </row>
    <row r="72" spans="1:8" ht="12.75" hidden="1">
      <c r="A72" s="110" t="s">
        <v>734</v>
      </c>
      <c r="B72" s="12" t="s">
        <v>897</v>
      </c>
      <c r="C72" s="109" t="s">
        <v>891</v>
      </c>
      <c r="D72" s="109" t="s">
        <v>898</v>
      </c>
      <c r="E72" s="109" t="s">
        <v>899</v>
      </c>
      <c r="F72" s="109" t="s">
        <v>732</v>
      </c>
      <c r="G72" s="109" t="s">
        <v>733</v>
      </c>
      <c r="H72" s="109">
        <v>30</v>
      </c>
    </row>
    <row r="73" spans="1:8" ht="12.75">
      <c r="A73" s="110"/>
      <c r="B73" s="109"/>
      <c r="C73" s="109" t="s">
        <v>316</v>
      </c>
      <c r="D73" s="109" t="s">
        <v>900</v>
      </c>
      <c r="E73" s="109" t="s">
        <v>901</v>
      </c>
      <c r="F73" s="109" t="s">
        <v>732</v>
      </c>
      <c r="G73" s="109" t="s">
        <v>726</v>
      </c>
      <c r="H73" s="109">
        <v>28</v>
      </c>
    </row>
    <row r="74" spans="1:8" ht="12.75">
      <c r="A74" s="110"/>
      <c r="B74" s="109"/>
      <c r="C74" s="109" t="s">
        <v>316</v>
      </c>
      <c r="D74" s="109" t="s">
        <v>902</v>
      </c>
      <c r="E74" s="109" t="s">
        <v>903</v>
      </c>
      <c r="F74" s="109" t="s">
        <v>732</v>
      </c>
      <c r="G74" s="109" t="s">
        <v>726</v>
      </c>
      <c r="H74" s="109">
        <v>2</v>
      </c>
    </row>
    <row r="75" spans="1:8" ht="12.75">
      <c r="A75" s="110"/>
      <c r="B75" s="109"/>
      <c r="C75" s="109" t="s">
        <v>316</v>
      </c>
      <c r="D75" s="109" t="s">
        <v>904</v>
      </c>
      <c r="E75" s="109" t="s">
        <v>905</v>
      </c>
      <c r="F75" s="109" t="s">
        <v>732</v>
      </c>
      <c r="G75" s="109" t="s">
        <v>726</v>
      </c>
      <c r="H75" s="109">
        <v>4</v>
      </c>
    </row>
    <row r="76" spans="1:8" ht="12.75">
      <c r="A76" s="110"/>
      <c r="B76" s="109"/>
      <c r="C76" s="109" t="s">
        <v>316</v>
      </c>
      <c r="D76" s="109" t="s">
        <v>906</v>
      </c>
      <c r="E76" s="109" t="s">
        <v>907</v>
      </c>
      <c r="F76" s="109" t="s">
        <v>732</v>
      </c>
      <c r="G76" s="109" t="s">
        <v>726</v>
      </c>
      <c r="H76" s="109">
        <v>4</v>
      </c>
    </row>
    <row r="77" spans="1:8" ht="12.75">
      <c r="A77" s="110"/>
      <c r="B77" s="12" t="s">
        <v>908</v>
      </c>
      <c r="C77" s="109" t="s">
        <v>316</v>
      </c>
      <c r="D77" s="109" t="s">
        <v>909</v>
      </c>
      <c r="E77" s="109" t="s">
        <v>910</v>
      </c>
      <c r="F77" s="109" t="s">
        <v>732</v>
      </c>
      <c r="G77" s="109" t="s">
        <v>726</v>
      </c>
      <c r="H77" s="109">
        <v>2</v>
      </c>
    </row>
    <row r="78" spans="1:8" ht="12.75">
      <c r="A78" s="110"/>
      <c r="B78" s="109"/>
      <c r="C78" s="109" t="s">
        <v>316</v>
      </c>
      <c r="D78" s="109" t="s">
        <v>911</v>
      </c>
      <c r="E78" s="109" t="s">
        <v>912</v>
      </c>
      <c r="F78" s="109" t="s">
        <v>732</v>
      </c>
      <c r="G78" s="109" t="s">
        <v>733</v>
      </c>
      <c r="H78" s="109">
        <v>4</v>
      </c>
    </row>
    <row r="79" spans="1:8" ht="12.75">
      <c r="A79" s="110"/>
      <c r="B79" s="109"/>
      <c r="C79" s="109" t="s">
        <v>316</v>
      </c>
      <c r="D79" s="109" t="s">
        <v>913</v>
      </c>
      <c r="E79" s="109" t="s">
        <v>914</v>
      </c>
      <c r="F79" s="109" t="s">
        <v>732</v>
      </c>
      <c r="G79" s="109" t="s">
        <v>733</v>
      </c>
      <c r="H79" s="109">
        <v>24</v>
      </c>
    </row>
    <row r="80" spans="1:8" ht="12.75">
      <c r="A80" s="110"/>
      <c r="B80" s="109"/>
      <c r="C80" s="109" t="s">
        <v>316</v>
      </c>
      <c r="D80" s="109" t="s">
        <v>915</v>
      </c>
      <c r="E80" s="109" t="s">
        <v>916</v>
      </c>
      <c r="F80" s="109" t="s">
        <v>732</v>
      </c>
      <c r="G80" s="109" t="s">
        <v>726</v>
      </c>
      <c r="H80" s="109">
        <v>4</v>
      </c>
    </row>
    <row r="81" spans="1:8" ht="12.75">
      <c r="A81" s="110"/>
      <c r="B81" s="12" t="s">
        <v>917</v>
      </c>
      <c r="C81" s="109" t="s">
        <v>316</v>
      </c>
      <c r="D81" s="109" t="s">
        <v>918</v>
      </c>
      <c r="E81" s="109" t="s">
        <v>919</v>
      </c>
      <c r="F81" s="109" t="s">
        <v>732</v>
      </c>
      <c r="G81" s="109" t="s">
        <v>733</v>
      </c>
      <c r="H81" s="109">
        <v>2</v>
      </c>
    </row>
    <row r="82" spans="1:8" ht="12.75">
      <c r="A82" s="110"/>
      <c r="B82" s="12" t="s">
        <v>920</v>
      </c>
      <c r="C82" s="109" t="s">
        <v>350</v>
      </c>
      <c r="D82" s="109" t="s">
        <v>921</v>
      </c>
      <c r="E82" s="109" t="s">
        <v>922</v>
      </c>
      <c r="F82" s="109" t="s">
        <v>732</v>
      </c>
      <c r="G82" s="109" t="s">
        <v>726</v>
      </c>
    </row>
    <row r="83" spans="1:8" ht="12.75" hidden="1">
      <c r="A83" s="13" t="s">
        <v>728</v>
      </c>
      <c r="B83" s="12" t="s">
        <v>923</v>
      </c>
      <c r="C83" s="109" t="s">
        <v>350</v>
      </c>
      <c r="D83" s="109" t="s">
        <v>924</v>
      </c>
      <c r="E83" s="109" t="s">
        <v>925</v>
      </c>
      <c r="F83" s="109" t="s">
        <v>732</v>
      </c>
      <c r="G83" s="109" t="s">
        <v>733</v>
      </c>
    </row>
    <row r="84" spans="1:8" ht="12.75" hidden="1">
      <c r="A84" s="13" t="s">
        <v>728</v>
      </c>
      <c r="B84" s="12" t="s">
        <v>926</v>
      </c>
      <c r="C84" s="109" t="s">
        <v>350</v>
      </c>
      <c r="D84" s="109" t="s">
        <v>927</v>
      </c>
      <c r="E84" s="109" t="s">
        <v>928</v>
      </c>
      <c r="F84" s="109" t="s">
        <v>732</v>
      </c>
      <c r="G84" s="109" t="s">
        <v>733</v>
      </c>
    </row>
    <row r="85" spans="1:8" ht="12.75" hidden="1">
      <c r="A85" s="13" t="s">
        <v>728</v>
      </c>
      <c r="B85" s="12" t="s">
        <v>923</v>
      </c>
      <c r="C85" s="109" t="s">
        <v>350</v>
      </c>
      <c r="D85" s="109" t="s">
        <v>929</v>
      </c>
      <c r="E85" s="109" t="s">
        <v>930</v>
      </c>
      <c r="F85" s="109" t="s">
        <v>732</v>
      </c>
      <c r="G85" s="109" t="s">
        <v>733</v>
      </c>
    </row>
    <row r="86" spans="1:8" ht="12.75" hidden="1">
      <c r="A86" s="13" t="s">
        <v>728</v>
      </c>
      <c r="B86" s="112" t="s">
        <v>931</v>
      </c>
      <c r="C86" s="109" t="s">
        <v>350</v>
      </c>
      <c r="D86" s="109" t="s">
        <v>932</v>
      </c>
      <c r="E86" s="109" t="s">
        <v>933</v>
      </c>
      <c r="F86" s="109" t="s">
        <v>732</v>
      </c>
      <c r="G86" s="109" t="s">
        <v>733</v>
      </c>
    </row>
    <row r="87" spans="1:8" ht="12.75" hidden="1">
      <c r="A87" s="13" t="s">
        <v>728</v>
      </c>
      <c r="B87" s="12" t="s">
        <v>923</v>
      </c>
      <c r="C87" s="109" t="s">
        <v>350</v>
      </c>
      <c r="D87" s="109" t="s">
        <v>934</v>
      </c>
      <c r="E87" s="109" t="s">
        <v>935</v>
      </c>
      <c r="F87" s="109" t="s">
        <v>732</v>
      </c>
      <c r="G87" s="109" t="s">
        <v>733</v>
      </c>
    </row>
    <row r="88" spans="1:8" ht="12.75" hidden="1">
      <c r="A88" s="13" t="s">
        <v>728</v>
      </c>
      <c r="B88" s="12" t="s">
        <v>936</v>
      </c>
      <c r="C88" s="109" t="s">
        <v>350</v>
      </c>
      <c r="D88" s="109" t="s">
        <v>937</v>
      </c>
      <c r="E88" s="109" t="s">
        <v>938</v>
      </c>
      <c r="F88" s="109" t="s">
        <v>732</v>
      </c>
      <c r="G88" s="109" t="s">
        <v>726</v>
      </c>
    </row>
    <row r="89" spans="1:8" ht="12.75" hidden="1">
      <c r="A89" s="13" t="s">
        <v>728</v>
      </c>
      <c r="B89" s="12" t="s">
        <v>926</v>
      </c>
      <c r="C89" s="109" t="s">
        <v>350</v>
      </c>
      <c r="D89" s="109" t="s">
        <v>939</v>
      </c>
      <c r="E89" s="109" t="s">
        <v>940</v>
      </c>
      <c r="F89" s="109" t="s">
        <v>732</v>
      </c>
      <c r="G89" s="109" t="s">
        <v>726</v>
      </c>
    </row>
    <row r="90" spans="1:8" ht="12.75" hidden="1">
      <c r="A90" s="13" t="s">
        <v>728</v>
      </c>
      <c r="B90" s="12" t="s">
        <v>941</v>
      </c>
      <c r="C90" s="109" t="s">
        <v>350</v>
      </c>
      <c r="D90" s="109" t="s">
        <v>942</v>
      </c>
      <c r="E90" s="109" t="s">
        <v>943</v>
      </c>
      <c r="F90" s="109" t="s">
        <v>732</v>
      </c>
      <c r="G90" s="109" t="s">
        <v>726</v>
      </c>
    </row>
    <row r="91" spans="1:8" ht="12.75" hidden="1">
      <c r="A91" s="110" t="s">
        <v>734</v>
      </c>
      <c r="B91" s="12" t="s">
        <v>944</v>
      </c>
      <c r="C91" s="109" t="s">
        <v>350</v>
      </c>
      <c r="D91" s="109" t="s">
        <v>945</v>
      </c>
      <c r="E91" s="109" t="s">
        <v>946</v>
      </c>
      <c r="F91" s="109" t="s">
        <v>732</v>
      </c>
      <c r="G91" s="109" t="s">
        <v>733</v>
      </c>
    </row>
    <row r="92" spans="1:8" ht="12.75" hidden="1">
      <c r="A92" s="110" t="s">
        <v>734</v>
      </c>
      <c r="B92" s="12" t="s">
        <v>947</v>
      </c>
      <c r="C92" s="109" t="s">
        <v>350</v>
      </c>
      <c r="D92" s="109" t="s">
        <v>948</v>
      </c>
      <c r="E92" s="109" t="s">
        <v>949</v>
      </c>
      <c r="F92" s="109" t="s">
        <v>732</v>
      </c>
      <c r="G92" s="109" t="s">
        <v>733</v>
      </c>
    </row>
    <row r="93" spans="1:8" ht="12.75" hidden="1">
      <c r="A93" s="110" t="s">
        <v>734</v>
      </c>
      <c r="B93" s="12" t="s">
        <v>950</v>
      </c>
      <c r="C93" s="109" t="s">
        <v>350</v>
      </c>
      <c r="D93" s="109" t="s">
        <v>951</v>
      </c>
      <c r="E93" s="109" t="s">
        <v>952</v>
      </c>
      <c r="F93" s="109" t="s">
        <v>732</v>
      </c>
      <c r="G93" s="109" t="s">
        <v>726</v>
      </c>
    </row>
    <row r="94" spans="1:8" ht="12.75" hidden="1">
      <c r="A94" s="110" t="s">
        <v>734</v>
      </c>
      <c r="B94" s="12" t="s">
        <v>950</v>
      </c>
      <c r="C94" s="109" t="s">
        <v>350</v>
      </c>
      <c r="D94" s="109" t="s">
        <v>953</v>
      </c>
      <c r="E94" s="109" t="s">
        <v>954</v>
      </c>
      <c r="F94" s="109" t="s">
        <v>732</v>
      </c>
      <c r="G94" s="109" t="s">
        <v>733</v>
      </c>
    </row>
    <row r="95" spans="1:8" ht="12.75" hidden="1">
      <c r="A95" s="110" t="s">
        <v>734</v>
      </c>
      <c r="B95" s="12" t="s">
        <v>931</v>
      </c>
      <c r="C95" s="109" t="s">
        <v>350</v>
      </c>
      <c r="D95" s="109" t="s">
        <v>955</v>
      </c>
      <c r="E95" s="109" t="s">
        <v>956</v>
      </c>
      <c r="F95" s="109" t="s">
        <v>732</v>
      </c>
      <c r="G95" s="109" t="s">
        <v>733</v>
      </c>
    </row>
    <row r="96" spans="1:8" ht="12.75" hidden="1">
      <c r="A96" s="110" t="s">
        <v>734</v>
      </c>
      <c r="B96" s="12" t="s">
        <v>957</v>
      </c>
      <c r="C96" s="109" t="s">
        <v>350</v>
      </c>
      <c r="D96" s="109" t="s">
        <v>958</v>
      </c>
      <c r="E96" s="109" t="s">
        <v>959</v>
      </c>
      <c r="F96" s="109" t="s">
        <v>732</v>
      </c>
      <c r="G96" s="109" t="s">
        <v>733</v>
      </c>
    </row>
    <row r="97" spans="1:8" ht="12.75" hidden="1">
      <c r="A97" s="110" t="s">
        <v>734</v>
      </c>
      <c r="B97" s="12" t="s">
        <v>960</v>
      </c>
      <c r="C97" s="109" t="s">
        <v>350</v>
      </c>
      <c r="D97" s="109" t="s">
        <v>961</v>
      </c>
      <c r="E97" s="109" t="s">
        <v>962</v>
      </c>
      <c r="F97" s="109" t="s">
        <v>732</v>
      </c>
      <c r="G97" s="109" t="s">
        <v>733</v>
      </c>
    </row>
    <row r="98" spans="1:8" ht="12.75">
      <c r="A98" s="110"/>
      <c r="B98" s="12" t="s">
        <v>920</v>
      </c>
      <c r="C98" s="109" t="s">
        <v>350</v>
      </c>
      <c r="D98" s="109" t="s">
        <v>963</v>
      </c>
      <c r="E98" s="109" t="s">
        <v>964</v>
      </c>
      <c r="F98" s="109" t="s">
        <v>732</v>
      </c>
      <c r="G98" s="109" t="s">
        <v>726</v>
      </c>
    </row>
    <row r="99" spans="1:8" ht="12.75">
      <c r="A99" s="110"/>
      <c r="B99" s="12" t="s">
        <v>920</v>
      </c>
      <c r="C99" s="109" t="s">
        <v>350</v>
      </c>
      <c r="D99" s="109" t="s">
        <v>965</v>
      </c>
      <c r="E99" s="109" t="s">
        <v>966</v>
      </c>
      <c r="F99" s="109" t="s">
        <v>732</v>
      </c>
      <c r="G99" s="109" t="s">
        <v>726</v>
      </c>
    </row>
    <row r="100" spans="1:8" ht="12.75">
      <c r="A100" s="110"/>
      <c r="B100" s="12" t="s">
        <v>920</v>
      </c>
      <c r="C100" s="109" t="s">
        <v>350</v>
      </c>
      <c r="D100" s="109" t="s">
        <v>967</v>
      </c>
      <c r="E100" s="109" t="s">
        <v>968</v>
      </c>
      <c r="F100" s="109" t="s">
        <v>732</v>
      </c>
      <c r="G100" s="109" t="s">
        <v>726</v>
      </c>
    </row>
    <row r="101" spans="1:8" ht="12.75">
      <c r="A101" s="110"/>
      <c r="B101" s="12" t="s">
        <v>920</v>
      </c>
      <c r="C101" s="109" t="s">
        <v>350</v>
      </c>
      <c r="D101" s="109" t="s">
        <v>969</v>
      </c>
      <c r="E101" s="109" t="s">
        <v>970</v>
      </c>
      <c r="F101" s="109" t="s">
        <v>732</v>
      </c>
      <c r="G101" s="109" t="s">
        <v>726</v>
      </c>
    </row>
    <row r="102" spans="1:8" ht="12.75">
      <c r="A102" s="110"/>
      <c r="B102" s="12" t="s">
        <v>920</v>
      </c>
      <c r="C102" s="109" t="s">
        <v>350</v>
      </c>
      <c r="D102" s="109" t="s">
        <v>971</v>
      </c>
      <c r="E102" s="109" t="s">
        <v>972</v>
      </c>
      <c r="F102" s="109" t="s">
        <v>732</v>
      </c>
      <c r="G102" s="109" t="s">
        <v>726</v>
      </c>
    </row>
    <row r="103" spans="1:8" ht="12.75">
      <c r="A103" s="110"/>
      <c r="B103" s="113" t="s">
        <v>973</v>
      </c>
      <c r="C103" s="109" t="s">
        <v>324</v>
      </c>
      <c r="D103" s="109" t="s">
        <v>974</v>
      </c>
      <c r="E103" s="109" t="s">
        <v>975</v>
      </c>
      <c r="F103" s="109" t="s">
        <v>732</v>
      </c>
      <c r="G103" s="109" t="s">
        <v>733</v>
      </c>
      <c r="H103" s="109">
        <v>8</v>
      </c>
    </row>
    <row r="104" spans="1:8" ht="12.75">
      <c r="A104" s="110"/>
      <c r="B104" s="109"/>
      <c r="C104" s="109" t="s">
        <v>324</v>
      </c>
      <c r="D104" s="109" t="s">
        <v>976</v>
      </c>
      <c r="E104" s="109" t="s">
        <v>977</v>
      </c>
      <c r="F104" s="109" t="s">
        <v>732</v>
      </c>
      <c r="G104" s="109" t="s">
        <v>733</v>
      </c>
      <c r="H104" s="109">
        <v>2</v>
      </c>
    </row>
    <row r="105" spans="1:8" ht="12.75">
      <c r="A105" s="110"/>
      <c r="B105" s="113" t="s">
        <v>978</v>
      </c>
      <c r="C105" s="109" t="s">
        <v>324</v>
      </c>
      <c r="D105" s="109" t="s">
        <v>979</v>
      </c>
      <c r="E105" s="109" t="s">
        <v>980</v>
      </c>
      <c r="F105" s="109" t="s">
        <v>732</v>
      </c>
      <c r="G105" s="109" t="s">
        <v>733</v>
      </c>
      <c r="H105" s="109">
        <v>2</v>
      </c>
    </row>
    <row r="106" spans="1:8" ht="12.75">
      <c r="A106" s="110"/>
      <c r="B106" s="109"/>
      <c r="C106" s="109" t="s">
        <v>324</v>
      </c>
      <c r="D106" s="109" t="s">
        <v>981</v>
      </c>
      <c r="E106" s="109" t="s">
        <v>982</v>
      </c>
      <c r="F106" s="109" t="s">
        <v>732</v>
      </c>
      <c r="G106" s="109" t="s">
        <v>733</v>
      </c>
      <c r="H106" s="109">
        <v>6</v>
      </c>
    </row>
    <row r="107" spans="1:8" ht="12.75">
      <c r="A107" s="110"/>
      <c r="B107" s="109"/>
      <c r="C107" s="109" t="s">
        <v>324</v>
      </c>
      <c r="D107" s="109" t="s">
        <v>983</v>
      </c>
      <c r="E107" s="109" t="s">
        <v>984</v>
      </c>
      <c r="F107" s="109" t="s">
        <v>732</v>
      </c>
      <c r="G107" s="109" t="s">
        <v>733</v>
      </c>
      <c r="H107" s="109">
        <v>4</v>
      </c>
    </row>
    <row r="108" spans="1:8" ht="12.75">
      <c r="A108" s="110"/>
      <c r="B108" s="109"/>
      <c r="C108" s="109" t="s">
        <v>324</v>
      </c>
      <c r="D108" s="109" t="s">
        <v>985</v>
      </c>
      <c r="E108" s="109" t="s">
        <v>986</v>
      </c>
      <c r="F108" s="109" t="s">
        <v>732</v>
      </c>
      <c r="G108" s="109" t="s">
        <v>733</v>
      </c>
      <c r="H108" s="109">
        <v>2</v>
      </c>
    </row>
    <row r="109" spans="1:8" ht="12.75">
      <c r="A109" s="110"/>
      <c r="B109" s="109"/>
      <c r="C109" s="109" t="s">
        <v>324</v>
      </c>
      <c r="D109" s="109" t="s">
        <v>987</v>
      </c>
      <c r="E109" s="109" t="s">
        <v>988</v>
      </c>
      <c r="F109" s="109" t="s">
        <v>732</v>
      </c>
      <c r="H109" s="109">
        <v>2</v>
      </c>
    </row>
    <row r="110" spans="1:8" ht="12.75">
      <c r="A110" s="110"/>
      <c r="B110" s="109"/>
      <c r="C110" s="109" t="s">
        <v>324</v>
      </c>
      <c r="D110" s="109" t="s">
        <v>989</v>
      </c>
      <c r="E110" s="109" t="s">
        <v>990</v>
      </c>
      <c r="F110" s="109" t="s">
        <v>732</v>
      </c>
      <c r="G110" s="109" t="s">
        <v>733</v>
      </c>
      <c r="H110" s="109">
        <v>8</v>
      </c>
    </row>
    <row r="111" spans="1:8" ht="12.75">
      <c r="A111" s="110"/>
      <c r="B111" s="109"/>
      <c r="C111" s="109" t="s">
        <v>324</v>
      </c>
      <c r="D111" s="109" t="s">
        <v>991</v>
      </c>
      <c r="E111" s="109" t="s">
        <v>992</v>
      </c>
      <c r="F111" s="109" t="s">
        <v>732</v>
      </c>
      <c r="G111" s="109" t="s">
        <v>733</v>
      </c>
      <c r="H111" s="109">
        <v>16</v>
      </c>
    </row>
    <row r="112" spans="1:8" ht="12.75">
      <c r="A112" s="110"/>
      <c r="B112" s="109"/>
      <c r="C112" s="109" t="s">
        <v>324</v>
      </c>
      <c r="D112" s="109" t="s">
        <v>993</v>
      </c>
      <c r="E112" s="109" t="s">
        <v>994</v>
      </c>
      <c r="F112" s="109" t="s">
        <v>732</v>
      </c>
      <c r="G112" s="109" t="s">
        <v>733</v>
      </c>
      <c r="H112" s="109">
        <v>2</v>
      </c>
    </row>
    <row r="113" spans="1:8" ht="12.75">
      <c r="A113" s="110"/>
      <c r="B113" s="109"/>
      <c r="C113" s="109" t="s">
        <v>324</v>
      </c>
      <c r="D113" s="109" t="s">
        <v>995</v>
      </c>
      <c r="E113" s="109" t="s">
        <v>996</v>
      </c>
      <c r="F113" s="109" t="s">
        <v>732</v>
      </c>
      <c r="G113" s="109" t="s">
        <v>733</v>
      </c>
      <c r="H113" s="109">
        <v>2</v>
      </c>
    </row>
    <row r="114" spans="1:8" ht="12.75">
      <c r="A114" s="110"/>
      <c r="B114" s="109"/>
      <c r="C114" s="109" t="s">
        <v>324</v>
      </c>
      <c r="D114" s="109" t="s">
        <v>997</v>
      </c>
      <c r="E114" s="109" t="s">
        <v>998</v>
      </c>
      <c r="F114" s="109" t="s">
        <v>732</v>
      </c>
      <c r="G114" s="109" t="s">
        <v>733</v>
      </c>
      <c r="H114" s="109">
        <v>4</v>
      </c>
    </row>
    <row r="115" spans="1:8" ht="12.75">
      <c r="A115" s="110"/>
      <c r="B115" s="109"/>
      <c r="C115" s="109" t="s">
        <v>324</v>
      </c>
      <c r="D115" s="109" t="s">
        <v>999</v>
      </c>
      <c r="E115" s="109" t="s">
        <v>1000</v>
      </c>
      <c r="F115" s="109" t="s">
        <v>732</v>
      </c>
      <c r="G115" s="109" t="s">
        <v>733</v>
      </c>
      <c r="H115" s="109">
        <v>4</v>
      </c>
    </row>
    <row r="116" spans="1:8" ht="12.75">
      <c r="A116" s="49"/>
    </row>
    <row r="117" spans="1:8" ht="12.75">
      <c r="A117" s="49"/>
    </row>
    <row r="118" spans="1:8" ht="12.75">
      <c r="A118" s="49"/>
    </row>
    <row r="119" spans="1:8" ht="12.75">
      <c r="A119" s="49"/>
    </row>
    <row r="120" spans="1:8" ht="12.75">
      <c r="A120" s="49"/>
    </row>
    <row r="121" spans="1:8" ht="12.75">
      <c r="A121" s="49"/>
    </row>
    <row r="122" spans="1:8" ht="12.75">
      <c r="A122" s="49"/>
    </row>
    <row r="123" spans="1:8" ht="12.75">
      <c r="A123" s="49"/>
    </row>
    <row r="124" spans="1:8" ht="12.75">
      <c r="A124" s="49"/>
    </row>
    <row r="125" spans="1:8" ht="12.75">
      <c r="A125" s="49"/>
    </row>
    <row r="126" spans="1:8" ht="12.75">
      <c r="A126" s="49"/>
    </row>
    <row r="127" spans="1:8" ht="12.75">
      <c r="A127" s="49"/>
    </row>
    <row r="128" spans="1:8" ht="12.75">
      <c r="A128" s="49"/>
    </row>
    <row r="129" spans="1:1" ht="12.75">
      <c r="A129" s="49"/>
    </row>
    <row r="130" spans="1:1" ht="12.75">
      <c r="A130" s="49"/>
    </row>
    <row r="131" spans="1:1" ht="12.75">
      <c r="A131" s="49"/>
    </row>
    <row r="132" spans="1:1" ht="12.75">
      <c r="A132" s="49"/>
    </row>
    <row r="133" spans="1:1" ht="12.75">
      <c r="A133" s="49"/>
    </row>
    <row r="134" spans="1:1" ht="12.75">
      <c r="A134" s="49"/>
    </row>
    <row r="135" spans="1:1" ht="12.75">
      <c r="A135" s="49"/>
    </row>
    <row r="136" spans="1:1" ht="12.75">
      <c r="A136" s="49"/>
    </row>
    <row r="137" spans="1:1" ht="12.75">
      <c r="A137" s="49"/>
    </row>
    <row r="138" spans="1:1" ht="12.75">
      <c r="A138" s="49"/>
    </row>
    <row r="139" spans="1:1" ht="12.75">
      <c r="A139" s="49"/>
    </row>
    <row r="140" spans="1:1" ht="12.75">
      <c r="A140" s="49"/>
    </row>
    <row r="141" spans="1:1" ht="12.75">
      <c r="A141" s="49"/>
    </row>
    <row r="142" spans="1:1" ht="12.75">
      <c r="A142" s="49"/>
    </row>
    <row r="143" spans="1:1" ht="12.75">
      <c r="A143" s="49"/>
    </row>
    <row r="144" spans="1:1" ht="12.75">
      <c r="A144" s="49"/>
    </row>
    <row r="145" spans="1:1" ht="12.75">
      <c r="A145" s="49"/>
    </row>
    <row r="146" spans="1:1" ht="12.75">
      <c r="A146" s="49"/>
    </row>
    <row r="147" spans="1:1" ht="12.75">
      <c r="A147" s="49"/>
    </row>
    <row r="148" spans="1:1" ht="12.75">
      <c r="A148" s="49"/>
    </row>
    <row r="149" spans="1:1" ht="12.75">
      <c r="A149" s="49"/>
    </row>
    <row r="150" spans="1:1" ht="12.75">
      <c r="A150" s="49"/>
    </row>
    <row r="151" spans="1:1" ht="12.75">
      <c r="A151" s="49"/>
    </row>
    <row r="152" spans="1:1" ht="12.75">
      <c r="A152" s="49"/>
    </row>
    <row r="153" spans="1:1" ht="12.75">
      <c r="A153" s="49"/>
    </row>
    <row r="154" spans="1:1" ht="12.75">
      <c r="A154" s="49"/>
    </row>
    <row r="155" spans="1:1" ht="12.75">
      <c r="A155" s="49"/>
    </row>
    <row r="156" spans="1:1" ht="12.75">
      <c r="A156" s="49"/>
    </row>
    <row r="157" spans="1:1" ht="12.75">
      <c r="A157" s="49"/>
    </row>
    <row r="158" spans="1:1" ht="12.75">
      <c r="A158" s="49"/>
    </row>
    <row r="159" spans="1:1" ht="12.75">
      <c r="A159" s="49"/>
    </row>
    <row r="160" spans="1:1" ht="12.75">
      <c r="A160" s="49"/>
    </row>
    <row r="161" spans="1:1" ht="12.75">
      <c r="A161" s="49"/>
    </row>
    <row r="162" spans="1:1" ht="12.75">
      <c r="A162" s="49"/>
    </row>
    <row r="163" spans="1:1" ht="12.75">
      <c r="A163" s="49"/>
    </row>
    <row r="164" spans="1:1" ht="12.75">
      <c r="A164" s="49"/>
    </row>
    <row r="165" spans="1:1" ht="12.75">
      <c r="A165" s="49"/>
    </row>
    <row r="166" spans="1:1" ht="12.75">
      <c r="A166" s="49"/>
    </row>
    <row r="167" spans="1:1" ht="12.75">
      <c r="A167" s="49"/>
    </row>
    <row r="168" spans="1:1" ht="12.75">
      <c r="A168" s="49"/>
    </row>
    <row r="169" spans="1:1" ht="12.75">
      <c r="A169" s="49"/>
    </row>
    <row r="170" spans="1:1" ht="12.75">
      <c r="A170" s="49"/>
    </row>
    <row r="171" spans="1:1" ht="12.75">
      <c r="A171" s="49"/>
    </row>
    <row r="172" spans="1:1" ht="12.75">
      <c r="A172" s="49"/>
    </row>
    <row r="173" spans="1:1" ht="12.75">
      <c r="A173" s="49"/>
    </row>
    <row r="174" spans="1:1" ht="12.75">
      <c r="A174" s="49"/>
    </row>
    <row r="175" spans="1:1" ht="12.75">
      <c r="A175" s="49"/>
    </row>
    <row r="176" spans="1:1" ht="12.75">
      <c r="A176" s="49"/>
    </row>
    <row r="177" spans="1:1" ht="12.75">
      <c r="A177" s="49"/>
    </row>
    <row r="178" spans="1:1" ht="12.75">
      <c r="A178" s="49"/>
    </row>
    <row r="179" spans="1:1" ht="12.75">
      <c r="A179" s="49"/>
    </row>
    <row r="180" spans="1:1" ht="12.75">
      <c r="A180" s="49"/>
    </row>
    <row r="181" spans="1:1" ht="12.75">
      <c r="A181" s="49"/>
    </row>
    <row r="182" spans="1:1" ht="12.75">
      <c r="A182" s="49"/>
    </row>
    <row r="183" spans="1:1" ht="12.75">
      <c r="A183" s="49"/>
    </row>
    <row r="184" spans="1:1" ht="12.75">
      <c r="A184" s="49"/>
    </row>
    <row r="185" spans="1:1" ht="12.75">
      <c r="A185" s="49"/>
    </row>
    <row r="186" spans="1:1" ht="12.75">
      <c r="A186" s="49"/>
    </row>
    <row r="187" spans="1:1" ht="12.75">
      <c r="A187" s="49"/>
    </row>
    <row r="188" spans="1:1" ht="12.75">
      <c r="A188" s="49"/>
    </row>
    <row r="189" spans="1:1" ht="12.75">
      <c r="A189" s="49"/>
    </row>
    <row r="190" spans="1:1" ht="12.75">
      <c r="A190" s="49"/>
    </row>
    <row r="191" spans="1:1" ht="12.75">
      <c r="A191" s="49"/>
    </row>
    <row r="192" spans="1:1" ht="12.75">
      <c r="A192" s="49"/>
    </row>
    <row r="193" spans="1:1" ht="12.75">
      <c r="A193" s="49"/>
    </row>
    <row r="194" spans="1:1" ht="12.75">
      <c r="A194" s="49"/>
    </row>
    <row r="195" spans="1:1" ht="12.75">
      <c r="A195" s="49"/>
    </row>
    <row r="196" spans="1:1" ht="12.75">
      <c r="A196" s="49"/>
    </row>
    <row r="197" spans="1:1" ht="12.75">
      <c r="A197" s="49"/>
    </row>
    <row r="198" spans="1:1" ht="12.75">
      <c r="A198" s="49"/>
    </row>
    <row r="199" spans="1:1" ht="12.75">
      <c r="A199" s="49"/>
    </row>
    <row r="200" spans="1:1" ht="12.75">
      <c r="A200" s="49"/>
    </row>
    <row r="201" spans="1:1" ht="12.75">
      <c r="A201" s="49"/>
    </row>
    <row r="202" spans="1:1" ht="12.75">
      <c r="A202" s="49"/>
    </row>
    <row r="203" spans="1:1" ht="12.75">
      <c r="A203" s="49"/>
    </row>
    <row r="204" spans="1:1" ht="12.75">
      <c r="A204" s="49"/>
    </row>
    <row r="205" spans="1:1" ht="12.75">
      <c r="A205" s="49"/>
    </row>
    <row r="206" spans="1:1" ht="12.75">
      <c r="A206" s="49"/>
    </row>
    <row r="207" spans="1:1" ht="12.75">
      <c r="A207" s="49"/>
    </row>
    <row r="208" spans="1:1" ht="12.75">
      <c r="A208" s="49"/>
    </row>
    <row r="209" spans="1:1" ht="12.75">
      <c r="A209" s="49"/>
    </row>
    <row r="210" spans="1:1" ht="12.75">
      <c r="A210" s="49"/>
    </row>
    <row r="211" spans="1:1" ht="12.75">
      <c r="A211" s="49"/>
    </row>
    <row r="212" spans="1:1" ht="12.75">
      <c r="A212" s="49"/>
    </row>
    <row r="213" spans="1:1" ht="12.75">
      <c r="A213" s="49"/>
    </row>
    <row r="214" spans="1:1" ht="12.75">
      <c r="A214" s="49"/>
    </row>
    <row r="215" spans="1:1" ht="12.75">
      <c r="A215" s="49"/>
    </row>
    <row r="216" spans="1:1" ht="12.75">
      <c r="A216" s="49"/>
    </row>
    <row r="217" spans="1:1" ht="12.75">
      <c r="A217" s="49"/>
    </row>
    <row r="218" spans="1:1" ht="12.75">
      <c r="A218" s="49"/>
    </row>
    <row r="219" spans="1:1" ht="12.75">
      <c r="A219" s="49"/>
    </row>
    <row r="220" spans="1:1" ht="12.75">
      <c r="A220" s="49"/>
    </row>
    <row r="221" spans="1:1" ht="12.75">
      <c r="A221" s="49"/>
    </row>
    <row r="222" spans="1:1" ht="12.75">
      <c r="A222" s="49"/>
    </row>
    <row r="223" spans="1:1" ht="12.75">
      <c r="A223" s="49"/>
    </row>
    <row r="224" spans="1:1" ht="12.75">
      <c r="A224" s="49"/>
    </row>
    <row r="225" spans="1:1" ht="12.75">
      <c r="A225" s="49"/>
    </row>
    <row r="226" spans="1:1" ht="12.75">
      <c r="A226" s="49"/>
    </row>
    <row r="227" spans="1:1" ht="12.75">
      <c r="A227" s="49"/>
    </row>
    <row r="228" spans="1:1" ht="12.75">
      <c r="A228" s="49"/>
    </row>
    <row r="229" spans="1:1" ht="12.75">
      <c r="A229" s="49"/>
    </row>
    <row r="230" spans="1:1" ht="12.75">
      <c r="A230" s="49"/>
    </row>
    <row r="231" spans="1:1" ht="12.75">
      <c r="A231" s="49"/>
    </row>
    <row r="232" spans="1:1" ht="12.75">
      <c r="A232" s="49"/>
    </row>
    <row r="233" spans="1:1" ht="12.75">
      <c r="A233" s="49"/>
    </row>
    <row r="234" spans="1:1" ht="12.75">
      <c r="A234" s="49"/>
    </row>
    <row r="235" spans="1:1" ht="12.75">
      <c r="A235" s="49"/>
    </row>
    <row r="236" spans="1:1" ht="12.75">
      <c r="A236" s="49"/>
    </row>
    <row r="237" spans="1:1" ht="12.75">
      <c r="A237" s="49"/>
    </row>
    <row r="238" spans="1:1" ht="12.75">
      <c r="A238" s="49"/>
    </row>
    <row r="239" spans="1:1" ht="12.75">
      <c r="A239" s="49"/>
    </row>
    <row r="240" spans="1:1" ht="12.75">
      <c r="A240" s="49"/>
    </row>
    <row r="241" spans="1:1" ht="12.75">
      <c r="A241" s="49"/>
    </row>
    <row r="242" spans="1:1" ht="12.75">
      <c r="A242" s="49"/>
    </row>
    <row r="243" spans="1:1" ht="12.75">
      <c r="A243" s="49"/>
    </row>
    <row r="244" spans="1:1" ht="12.75">
      <c r="A244" s="49"/>
    </row>
    <row r="245" spans="1:1" ht="12.75">
      <c r="A245" s="49"/>
    </row>
    <row r="246" spans="1:1" ht="12.75">
      <c r="A246" s="49"/>
    </row>
    <row r="247" spans="1:1" ht="12.75">
      <c r="A247" s="49"/>
    </row>
    <row r="248" spans="1:1" ht="12.75">
      <c r="A248" s="49"/>
    </row>
    <row r="249" spans="1:1" ht="12.75">
      <c r="A249" s="49"/>
    </row>
    <row r="250" spans="1:1" ht="12.75">
      <c r="A250" s="49"/>
    </row>
    <row r="251" spans="1:1" ht="12.75">
      <c r="A251" s="49"/>
    </row>
    <row r="252" spans="1:1" ht="12.75">
      <c r="A252" s="49"/>
    </row>
    <row r="253" spans="1:1" ht="12.75">
      <c r="A253" s="49"/>
    </row>
    <row r="254" spans="1:1" ht="12.75">
      <c r="A254" s="49"/>
    </row>
    <row r="255" spans="1:1" ht="12.75">
      <c r="A255" s="49"/>
    </row>
    <row r="256" spans="1:1" ht="12.75">
      <c r="A256" s="49"/>
    </row>
    <row r="257" spans="1:1" ht="12.75">
      <c r="A257" s="49"/>
    </row>
    <row r="258" spans="1:1" ht="12.75">
      <c r="A258" s="49"/>
    </row>
    <row r="259" spans="1:1" ht="12.75">
      <c r="A259" s="49"/>
    </row>
    <row r="260" spans="1:1" ht="12.75">
      <c r="A260" s="49"/>
    </row>
    <row r="261" spans="1:1" ht="12.75">
      <c r="A261" s="49"/>
    </row>
    <row r="262" spans="1:1" ht="12.75">
      <c r="A262" s="49"/>
    </row>
    <row r="263" spans="1:1" ht="12.75">
      <c r="A263" s="49"/>
    </row>
    <row r="264" spans="1:1" ht="12.75">
      <c r="A264" s="49"/>
    </row>
    <row r="265" spans="1:1" ht="12.75">
      <c r="A265" s="49"/>
    </row>
    <row r="266" spans="1:1" ht="12.75">
      <c r="A266" s="49"/>
    </row>
    <row r="267" spans="1:1" ht="12.75">
      <c r="A267" s="49"/>
    </row>
    <row r="268" spans="1:1" ht="12.75">
      <c r="A268" s="49"/>
    </row>
    <row r="269" spans="1:1" ht="12.75">
      <c r="A269" s="49"/>
    </row>
    <row r="270" spans="1:1" ht="12.75">
      <c r="A270" s="49"/>
    </row>
    <row r="271" spans="1:1" ht="12.75">
      <c r="A271" s="49"/>
    </row>
    <row r="272" spans="1:1" ht="12.75">
      <c r="A272" s="49"/>
    </row>
    <row r="273" spans="1:1" ht="12.75">
      <c r="A273" s="49"/>
    </row>
    <row r="274" spans="1:1" ht="12.75">
      <c r="A274" s="49"/>
    </row>
    <row r="275" spans="1:1" ht="12.75">
      <c r="A275" s="49"/>
    </row>
    <row r="276" spans="1:1" ht="12.75">
      <c r="A276" s="49"/>
    </row>
    <row r="277" spans="1:1" ht="12.75">
      <c r="A277" s="49"/>
    </row>
    <row r="278" spans="1:1" ht="12.75">
      <c r="A278" s="49"/>
    </row>
    <row r="279" spans="1:1" ht="12.75">
      <c r="A279" s="49"/>
    </row>
    <row r="280" spans="1:1" ht="12.75">
      <c r="A280" s="49"/>
    </row>
    <row r="281" spans="1:1" ht="12.75">
      <c r="A281" s="49"/>
    </row>
    <row r="282" spans="1:1" ht="12.75">
      <c r="A282" s="49"/>
    </row>
    <row r="283" spans="1:1" ht="12.75">
      <c r="A283" s="49"/>
    </row>
    <row r="284" spans="1:1" ht="12.75">
      <c r="A284" s="49"/>
    </row>
    <row r="285" spans="1:1" ht="12.75">
      <c r="A285" s="49"/>
    </row>
    <row r="286" spans="1:1" ht="12.75">
      <c r="A286" s="49"/>
    </row>
    <row r="287" spans="1:1" ht="12.75">
      <c r="A287" s="49"/>
    </row>
    <row r="288" spans="1:1" ht="12.75">
      <c r="A288" s="49"/>
    </row>
    <row r="289" spans="1:1" ht="12.75">
      <c r="A289" s="49"/>
    </row>
    <row r="290" spans="1:1" ht="12.75">
      <c r="A290" s="49"/>
    </row>
    <row r="291" spans="1:1" ht="12.75">
      <c r="A291" s="49"/>
    </row>
    <row r="292" spans="1:1" ht="12.75">
      <c r="A292" s="49"/>
    </row>
    <row r="293" spans="1:1" ht="12.75">
      <c r="A293" s="49"/>
    </row>
    <row r="294" spans="1:1" ht="12.75">
      <c r="A294" s="49"/>
    </row>
    <row r="295" spans="1:1" ht="12.75">
      <c r="A295" s="49"/>
    </row>
    <row r="296" spans="1:1" ht="12.75">
      <c r="A296" s="49"/>
    </row>
    <row r="297" spans="1:1" ht="12.75">
      <c r="A297" s="49"/>
    </row>
    <row r="298" spans="1:1" ht="12.75">
      <c r="A298" s="49"/>
    </row>
    <row r="299" spans="1:1" ht="12.75">
      <c r="A299" s="49"/>
    </row>
    <row r="300" spans="1:1" ht="12.75">
      <c r="A300" s="49"/>
    </row>
    <row r="301" spans="1:1" ht="12.75">
      <c r="A301" s="49"/>
    </row>
    <row r="302" spans="1:1" ht="12.75">
      <c r="A302" s="49"/>
    </row>
    <row r="303" spans="1:1" ht="12.75">
      <c r="A303" s="49"/>
    </row>
    <row r="304" spans="1:1" ht="12.75">
      <c r="A304" s="49"/>
    </row>
    <row r="305" spans="1:1" ht="12.75">
      <c r="A305" s="49"/>
    </row>
    <row r="306" spans="1:1" ht="12.75">
      <c r="A306" s="49"/>
    </row>
    <row r="307" spans="1:1" ht="12.75">
      <c r="A307" s="49"/>
    </row>
    <row r="308" spans="1:1" ht="12.75">
      <c r="A308" s="49"/>
    </row>
    <row r="309" spans="1:1" ht="12.75">
      <c r="A309" s="49"/>
    </row>
    <row r="310" spans="1:1" ht="12.75">
      <c r="A310" s="49"/>
    </row>
    <row r="311" spans="1:1" ht="12.75">
      <c r="A311" s="49"/>
    </row>
    <row r="312" spans="1:1" ht="12.75">
      <c r="A312" s="49"/>
    </row>
    <row r="313" spans="1:1" ht="12.75">
      <c r="A313" s="49"/>
    </row>
    <row r="314" spans="1:1" ht="12.75">
      <c r="A314" s="49"/>
    </row>
    <row r="315" spans="1:1" ht="12.75">
      <c r="A315" s="49"/>
    </row>
    <row r="316" spans="1:1" ht="12.75">
      <c r="A316" s="49"/>
    </row>
    <row r="317" spans="1:1" ht="12.75">
      <c r="A317" s="49"/>
    </row>
    <row r="318" spans="1:1" ht="12.75">
      <c r="A318" s="49"/>
    </row>
    <row r="319" spans="1:1" ht="12.75">
      <c r="A319" s="49"/>
    </row>
    <row r="320" spans="1:1" ht="12.75">
      <c r="A320" s="49"/>
    </row>
    <row r="321" spans="1:1" ht="12.75">
      <c r="A321" s="49"/>
    </row>
    <row r="322" spans="1:1" ht="12.75">
      <c r="A322" s="49"/>
    </row>
    <row r="323" spans="1:1" ht="12.75">
      <c r="A323" s="49"/>
    </row>
    <row r="324" spans="1:1" ht="12.75">
      <c r="A324" s="49"/>
    </row>
    <row r="325" spans="1:1" ht="12.75">
      <c r="A325" s="49"/>
    </row>
    <row r="326" spans="1:1" ht="12.75">
      <c r="A326" s="49"/>
    </row>
    <row r="327" spans="1:1" ht="12.75">
      <c r="A327" s="49"/>
    </row>
    <row r="328" spans="1:1" ht="12.75">
      <c r="A328" s="49"/>
    </row>
    <row r="329" spans="1:1" ht="12.75">
      <c r="A329" s="49"/>
    </row>
    <row r="330" spans="1:1" ht="12.75">
      <c r="A330" s="49"/>
    </row>
    <row r="331" spans="1:1" ht="12.75">
      <c r="A331" s="49"/>
    </row>
    <row r="332" spans="1:1" ht="12.75">
      <c r="A332" s="49"/>
    </row>
    <row r="333" spans="1:1" ht="12.75">
      <c r="A333" s="49"/>
    </row>
    <row r="334" spans="1:1" ht="12.75">
      <c r="A334" s="49"/>
    </row>
    <row r="335" spans="1:1" ht="12.75">
      <c r="A335" s="49"/>
    </row>
    <row r="336" spans="1:1" ht="12.75">
      <c r="A336" s="49"/>
    </row>
    <row r="337" spans="1:1" ht="12.75">
      <c r="A337" s="49"/>
    </row>
    <row r="338" spans="1:1" ht="12.75">
      <c r="A338" s="49"/>
    </row>
    <row r="339" spans="1:1" ht="12.75">
      <c r="A339" s="49"/>
    </row>
    <row r="340" spans="1:1" ht="12.75">
      <c r="A340" s="49"/>
    </row>
    <row r="341" spans="1:1" ht="12.75">
      <c r="A341" s="49"/>
    </row>
    <row r="342" spans="1:1" ht="12.75">
      <c r="A342" s="49"/>
    </row>
    <row r="343" spans="1:1" ht="12.75">
      <c r="A343" s="49"/>
    </row>
    <row r="344" spans="1:1" ht="12.75">
      <c r="A344" s="49"/>
    </row>
    <row r="345" spans="1:1" ht="12.75">
      <c r="A345" s="49"/>
    </row>
    <row r="346" spans="1:1" ht="12.75">
      <c r="A346" s="49"/>
    </row>
    <row r="347" spans="1:1" ht="12.75">
      <c r="A347" s="49"/>
    </row>
    <row r="348" spans="1:1" ht="12.75">
      <c r="A348" s="49"/>
    </row>
    <row r="349" spans="1:1" ht="12.75">
      <c r="A349" s="49"/>
    </row>
    <row r="350" spans="1:1" ht="12.75">
      <c r="A350" s="49"/>
    </row>
    <row r="351" spans="1:1" ht="12.75">
      <c r="A351" s="49"/>
    </row>
    <row r="352" spans="1:1" ht="12.75">
      <c r="A352" s="49"/>
    </row>
    <row r="353" spans="1:1" ht="12.75">
      <c r="A353" s="49"/>
    </row>
    <row r="354" spans="1:1" ht="12.75">
      <c r="A354" s="49"/>
    </row>
    <row r="355" spans="1:1" ht="12.75">
      <c r="A355" s="49"/>
    </row>
    <row r="356" spans="1:1" ht="12.75">
      <c r="A356" s="49"/>
    </row>
    <row r="357" spans="1:1" ht="12.75">
      <c r="A357" s="49"/>
    </row>
    <row r="358" spans="1:1" ht="12.75">
      <c r="A358" s="49"/>
    </row>
    <row r="359" spans="1:1" ht="12.75">
      <c r="A359" s="49"/>
    </row>
    <row r="360" spans="1:1" ht="12.75">
      <c r="A360" s="49"/>
    </row>
    <row r="361" spans="1:1" ht="12.75">
      <c r="A361" s="49"/>
    </row>
    <row r="362" spans="1:1" ht="12.75">
      <c r="A362" s="49"/>
    </row>
    <row r="363" spans="1:1" ht="12.75">
      <c r="A363" s="49"/>
    </row>
    <row r="364" spans="1:1" ht="12.75">
      <c r="A364" s="49"/>
    </row>
    <row r="365" spans="1:1" ht="12.75">
      <c r="A365" s="49"/>
    </row>
    <row r="366" spans="1:1" ht="12.75">
      <c r="A366" s="49"/>
    </row>
    <row r="367" spans="1:1" ht="12.75">
      <c r="A367" s="49"/>
    </row>
    <row r="368" spans="1:1" ht="12.75">
      <c r="A368" s="49"/>
    </row>
    <row r="369" spans="1:1" ht="12.75">
      <c r="A369" s="49"/>
    </row>
    <row r="370" spans="1:1" ht="12.75">
      <c r="A370" s="49"/>
    </row>
    <row r="371" spans="1:1" ht="12.75">
      <c r="A371" s="49"/>
    </row>
    <row r="372" spans="1:1" ht="12.75">
      <c r="A372" s="49"/>
    </row>
    <row r="373" spans="1:1" ht="12.75">
      <c r="A373" s="49"/>
    </row>
    <row r="374" spans="1:1" ht="12.75">
      <c r="A374" s="49"/>
    </row>
    <row r="375" spans="1:1" ht="12.75">
      <c r="A375" s="49"/>
    </row>
    <row r="376" spans="1:1" ht="12.75">
      <c r="A376" s="49"/>
    </row>
    <row r="377" spans="1:1" ht="12.75">
      <c r="A377" s="49"/>
    </row>
    <row r="378" spans="1:1" ht="12.75">
      <c r="A378" s="49"/>
    </row>
    <row r="379" spans="1:1" ht="12.75">
      <c r="A379" s="49"/>
    </row>
    <row r="380" spans="1:1" ht="12.75">
      <c r="A380" s="49"/>
    </row>
    <row r="381" spans="1:1" ht="12.75">
      <c r="A381" s="49"/>
    </row>
    <row r="382" spans="1:1" ht="12.75">
      <c r="A382" s="49"/>
    </row>
    <row r="383" spans="1:1" ht="12.75">
      <c r="A383" s="49"/>
    </row>
    <row r="384" spans="1:1" ht="12.75">
      <c r="A384" s="49"/>
    </row>
    <row r="385" spans="1:1" ht="12.75">
      <c r="A385" s="49"/>
    </row>
    <row r="386" spans="1:1" ht="12.75">
      <c r="A386" s="49"/>
    </row>
    <row r="387" spans="1:1" ht="12.75">
      <c r="A387" s="49"/>
    </row>
    <row r="388" spans="1:1" ht="12.75">
      <c r="A388" s="49"/>
    </row>
    <row r="389" spans="1:1" ht="12.75">
      <c r="A389" s="49"/>
    </row>
    <row r="390" spans="1:1" ht="12.75">
      <c r="A390" s="49"/>
    </row>
    <row r="391" spans="1:1" ht="12.75">
      <c r="A391" s="49"/>
    </row>
    <row r="392" spans="1:1" ht="12.75">
      <c r="A392" s="49"/>
    </row>
    <row r="393" spans="1:1" ht="12.75">
      <c r="A393" s="49"/>
    </row>
    <row r="394" spans="1:1" ht="12.75">
      <c r="A394" s="49"/>
    </row>
    <row r="395" spans="1:1" ht="12.75">
      <c r="A395" s="49"/>
    </row>
    <row r="396" spans="1:1" ht="12.75">
      <c r="A396" s="49"/>
    </row>
    <row r="397" spans="1:1" ht="12.75">
      <c r="A397" s="49"/>
    </row>
    <row r="398" spans="1:1" ht="12.75">
      <c r="A398" s="49"/>
    </row>
    <row r="399" spans="1:1" ht="12.75">
      <c r="A399" s="49"/>
    </row>
    <row r="400" spans="1:1" ht="12.75">
      <c r="A400" s="49"/>
    </row>
    <row r="401" spans="1:1" ht="12.75">
      <c r="A401" s="49"/>
    </row>
    <row r="402" spans="1:1" ht="12.75">
      <c r="A402" s="49"/>
    </row>
    <row r="403" spans="1:1" ht="12.75">
      <c r="A403" s="49"/>
    </row>
    <row r="404" spans="1:1" ht="12.75">
      <c r="A404" s="49"/>
    </row>
    <row r="405" spans="1:1" ht="12.75">
      <c r="A405" s="49"/>
    </row>
    <row r="406" spans="1:1" ht="12.75">
      <c r="A406" s="49"/>
    </row>
    <row r="407" spans="1:1" ht="12.75">
      <c r="A407" s="49"/>
    </row>
    <row r="408" spans="1:1" ht="12.75">
      <c r="A408" s="49"/>
    </row>
    <row r="409" spans="1:1" ht="12.75">
      <c r="A409" s="49"/>
    </row>
    <row r="410" spans="1:1" ht="12.75">
      <c r="A410" s="49"/>
    </row>
    <row r="411" spans="1:1" ht="12.75">
      <c r="A411" s="49"/>
    </row>
    <row r="412" spans="1:1" ht="12.75">
      <c r="A412" s="49"/>
    </row>
    <row r="413" spans="1:1" ht="12.75">
      <c r="A413" s="49"/>
    </row>
    <row r="414" spans="1:1" ht="12.75">
      <c r="A414" s="49"/>
    </row>
    <row r="415" spans="1:1" ht="12.75">
      <c r="A415" s="49"/>
    </row>
    <row r="416" spans="1:1" ht="12.75">
      <c r="A416" s="49"/>
    </row>
    <row r="417" spans="1:1" ht="12.75">
      <c r="A417" s="49"/>
    </row>
    <row r="418" spans="1:1" ht="12.75">
      <c r="A418" s="49"/>
    </row>
    <row r="419" spans="1:1" ht="12.75">
      <c r="A419" s="49"/>
    </row>
    <row r="420" spans="1:1" ht="12.75">
      <c r="A420" s="49"/>
    </row>
    <row r="421" spans="1:1" ht="12.75">
      <c r="A421" s="49"/>
    </row>
    <row r="422" spans="1:1" ht="12.75">
      <c r="A422" s="49"/>
    </row>
    <row r="423" spans="1:1" ht="12.75">
      <c r="A423" s="49"/>
    </row>
    <row r="424" spans="1:1" ht="12.75">
      <c r="A424" s="49"/>
    </row>
    <row r="425" spans="1:1" ht="12.75">
      <c r="A425" s="49"/>
    </row>
    <row r="426" spans="1:1" ht="12.75">
      <c r="A426" s="49"/>
    </row>
    <row r="427" spans="1:1" ht="12.75">
      <c r="A427" s="49"/>
    </row>
    <row r="428" spans="1:1" ht="12.75">
      <c r="A428" s="49"/>
    </row>
    <row r="429" spans="1:1" ht="12.75">
      <c r="A429" s="49"/>
    </row>
    <row r="430" spans="1:1" ht="12.75">
      <c r="A430" s="49"/>
    </row>
    <row r="431" spans="1:1" ht="12.75">
      <c r="A431" s="49"/>
    </row>
    <row r="432" spans="1:1" ht="12.75">
      <c r="A432" s="49"/>
    </row>
    <row r="433" spans="1:1" ht="12.75">
      <c r="A433" s="49"/>
    </row>
    <row r="434" spans="1:1" ht="12.75">
      <c r="A434" s="49"/>
    </row>
    <row r="435" spans="1:1" ht="12.75">
      <c r="A435" s="49"/>
    </row>
    <row r="436" spans="1:1" ht="12.75">
      <c r="A436" s="49"/>
    </row>
    <row r="437" spans="1:1" ht="12.75">
      <c r="A437" s="49"/>
    </row>
    <row r="438" spans="1:1" ht="12.75">
      <c r="A438" s="49"/>
    </row>
    <row r="439" spans="1:1" ht="12.75">
      <c r="A439" s="49"/>
    </row>
    <row r="440" spans="1:1" ht="12.75">
      <c r="A440" s="49"/>
    </row>
    <row r="441" spans="1:1" ht="12.75">
      <c r="A441" s="49"/>
    </row>
    <row r="442" spans="1:1" ht="12.75">
      <c r="A442" s="49"/>
    </row>
    <row r="443" spans="1:1" ht="12.75">
      <c r="A443" s="49"/>
    </row>
    <row r="444" spans="1:1" ht="12.75">
      <c r="A444" s="49"/>
    </row>
    <row r="445" spans="1:1" ht="12.75">
      <c r="A445" s="49"/>
    </row>
    <row r="446" spans="1:1" ht="12.75">
      <c r="A446" s="49"/>
    </row>
    <row r="447" spans="1:1" ht="12.75">
      <c r="A447" s="49"/>
    </row>
    <row r="448" spans="1:1" ht="12.75">
      <c r="A448" s="49"/>
    </row>
    <row r="449" spans="1:1" ht="12.75">
      <c r="A449" s="49"/>
    </row>
    <row r="450" spans="1:1" ht="12.75">
      <c r="A450" s="49"/>
    </row>
    <row r="451" spans="1:1" ht="12.75">
      <c r="A451" s="49"/>
    </row>
    <row r="452" spans="1:1" ht="12.75">
      <c r="A452" s="49"/>
    </row>
    <row r="453" spans="1:1" ht="12.75">
      <c r="A453" s="49"/>
    </row>
    <row r="454" spans="1:1" ht="12.75">
      <c r="A454" s="49"/>
    </row>
    <row r="455" spans="1:1" ht="12.75">
      <c r="A455" s="49"/>
    </row>
    <row r="456" spans="1:1" ht="12.75">
      <c r="A456" s="49"/>
    </row>
    <row r="457" spans="1:1" ht="12.75">
      <c r="A457" s="49"/>
    </row>
    <row r="458" spans="1:1" ht="12.75">
      <c r="A458" s="49"/>
    </row>
    <row r="459" spans="1:1" ht="12.75">
      <c r="A459" s="49"/>
    </row>
    <row r="460" spans="1:1" ht="12.75">
      <c r="A460" s="49"/>
    </row>
    <row r="461" spans="1:1" ht="12.75">
      <c r="A461" s="49"/>
    </row>
    <row r="462" spans="1:1" ht="12.75">
      <c r="A462" s="49"/>
    </row>
    <row r="463" spans="1:1" ht="12.75">
      <c r="A463" s="49"/>
    </row>
    <row r="464" spans="1:1" ht="12.75">
      <c r="A464" s="49"/>
    </row>
    <row r="465" spans="1:1" ht="12.75">
      <c r="A465" s="49"/>
    </row>
    <row r="466" spans="1:1" ht="12.75">
      <c r="A466" s="49"/>
    </row>
    <row r="467" spans="1:1" ht="12.75">
      <c r="A467" s="49"/>
    </row>
    <row r="468" spans="1:1" ht="12.75">
      <c r="A468" s="49"/>
    </row>
    <row r="469" spans="1:1" ht="12.75">
      <c r="A469" s="49"/>
    </row>
    <row r="470" spans="1:1" ht="12.75">
      <c r="A470" s="49"/>
    </row>
    <row r="471" spans="1:1" ht="12.75">
      <c r="A471" s="49"/>
    </row>
    <row r="472" spans="1:1" ht="12.75">
      <c r="A472" s="49"/>
    </row>
    <row r="473" spans="1:1" ht="12.75">
      <c r="A473" s="49"/>
    </row>
    <row r="474" spans="1:1" ht="12.75">
      <c r="A474" s="49"/>
    </row>
    <row r="475" spans="1:1" ht="12.75">
      <c r="A475" s="49"/>
    </row>
    <row r="476" spans="1:1" ht="12.75">
      <c r="A476" s="49"/>
    </row>
    <row r="477" spans="1:1" ht="12.75">
      <c r="A477" s="49"/>
    </row>
    <row r="478" spans="1:1" ht="12.75">
      <c r="A478" s="49"/>
    </row>
    <row r="479" spans="1:1" ht="12.75">
      <c r="A479" s="49"/>
    </row>
    <row r="480" spans="1:1" ht="12.75">
      <c r="A480" s="49"/>
    </row>
    <row r="481" spans="1:1" ht="12.75">
      <c r="A481" s="49"/>
    </row>
    <row r="482" spans="1:1" ht="12.75">
      <c r="A482" s="49"/>
    </row>
    <row r="483" spans="1:1" ht="12.75">
      <c r="A483" s="49"/>
    </row>
    <row r="484" spans="1:1" ht="12.75">
      <c r="A484" s="49"/>
    </row>
    <row r="485" spans="1:1" ht="12.75">
      <c r="A485" s="49"/>
    </row>
    <row r="486" spans="1:1" ht="12.75">
      <c r="A486" s="49"/>
    </row>
    <row r="487" spans="1:1" ht="12.75">
      <c r="A487" s="49"/>
    </row>
    <row r="488" spans="1:1" ht="12.75">
      <c r="A488" s="49"/>
    </row>
    <row r="489" spans="1:1" ht="12.75">
      <c r="A489" s="49"/>
    </row>
    <row r="490" spans="1:1" ht="12.75">
      <c r="A490" s="49"/>
    </row>
    <row r="491" spans="1:1" ht="12.75">
      <c r="A491" s="49"/>
    </row>
    <row r="492" spans="1:1" ht="12.75">
      <c r="A492" s="49"/>
    </row>
    <row r="493" spans="1:1" ht="12.75">
      <c r="A493" s="49"/>
    </row>
    <row r="494" spans="1:1" ht="12.75">
      <c r="A494" s="49"/>
    </row>
    <row r="495" spans="1:1" ht="12.75">
      <c r="A495" s="49"/>
    </row>
    <row r="496" spans="1:1" ht="12.75">
      <c r="A496" s="49"/>
    </row>
    <row r="497" spans="1:1" ht="12.75">
      <c r="A497" s="49"/>
    </row>
    <row r="498" spans="1:1" ht="12.75">
      <c r="A498" s="49"/>
    </row>
    <row r="499" spans="1:1" ht="12.75">
      <c r="A499" s="49"/>
    </row>
    <row r="500" spans="1:1" ht="12.75">
      <c r="A500" s="49"/>
    </row>
    <row r="501" spans="1:1" ht="12.75">
      <c r="A501" s="49"/>
    </row>
    <row r="502" spans="1:1" ht="12.75">
      <c r="A502" s="49"/>
    </row>
    <row r="503" spans="1:1" ht="12.75">
      <c r="A503" s="49"/>
    </row>
    <row r="504" spans="1:1" ht="12.75">
      <c r="A504" s="49"/>
    </row>
    <row r="505" spans="1:1" ht="12.75">
      <c r="A505" s="49"/>
    </row>
    <row r="506" spans="1:1" ht="12.75">
      <c r="A506" s="49"/>
    </row>
    <row r="507" spans="1:1" ht="12.75">
      <c r="A507" s="49"/>
    </row>
    <row r="508" spans="1:1" ht="12.75">
      <c r="A508" s="49"/>
    </row>
    <row r="509" spans="1:1" ht="12.75">
      <c r="A509" s="49"/>
    </row>
    <row r="510" spans="1:1" ht="12.75">
      <c r="A510" s="49"/>
    </row>
    <row r="511" spans="1:1" ht="12.75">
      <c r="A511" s="49"/>
    </row>
    <row r="512" spans="1:1" ht="12.75">
      <c r="A512" s="49"/>
    </row>
    <row r="513" spans="1:1" ht="12.75">
      <c r="A513" s="49"/>
    </row>
    <row r="514" spans="1:1" ht="12.75">
      <c r="A514" s="49"/>
    </row>
    <row r="515" spans="1:1" ht="12.75">
      <c r="A515" s="49"/>
    </row>
    <row r="516" spans="1:1" ht="12.75">
      <c r="A516" s="49"/>
    </row>
    <row r="517" spans="1:1" ht="12.75">
      <c r="A517" s="49"/>
    </row>
    <row r="518" spans="1:1" ht="12.75">
      <c r="A518" s="49"/>
    </row>
    <row r="519" spans="1:1" ht="12.75">
      <c r="A519" s="49"/>
    </row>
    <row r="520" spans="1:1" ht="12.75">
      <c r="A520" s="49"/>
    </row>
    <row r="521" spans="1:1" ht="12.75">
      <c r="A521" s="49"/>
    </row>
    <row r="522" spans="1:1" ht="12.75">
      <c r="A522" s="49"/>
    </row>
    <row r="523" spans="1:1" ht="12.75">
      <c r="A523" s="49"/>
    </row>
    <row r="524" spans="1:1" ht="12.75">
      <c r="A524" s="49"/>
    </row>
    <row r="525" spans="1:1" ht="12.75">
      <c r="A525" s="49"/>
    </row>
    <row r="526" spans="1:1" ht="12.75">
      <c r="A526" s="49"/>
    </row>
    <row r="527" spans="1:1" ht="12.75">
      <c r="A527" s="49"/>
    </row>
    <row r="528" spans="1:1" ht="12.75">
      <c r="A528" s="49"/>
    </row>
    <row r="529" spans="1:1" ht="12.75">
      <c r="A529" s="49"/>
    </row>
    <row r="530" spans="1:1" ht="12.75">
      <c r="A530" s="49"/>
    </row>
    <row r="531" spans="1:1" ht="12.75">
      <c r="A531" s="49"/>
    </row>
    <row r="532" spans="1:1" ht="12.75">
      <c r="A532" s="49"/>
    </row>
    <row r="533" spans="1:1" ht="12.75">
      <c r="A533" s="49"/>
    </row>
    <row r="534" spans="1:1" ht="12.75">
      <c r="A534" s="49"/>
    </row>
    <row r="535" spans="1:1" ht="12.75">
      <c r="A535" s="49"/>
    </row>
    <row r="536" spans="1:1" ht="12.75">
      <c r="A536" s="49"/>
    </row>
    <row r="537" spans="1:1" ht="12.75">
      <c r="A537" s="49"/>
    </row>
    <row r="538" spans="1:1" ht="12.75">
      <c r="A538" s="49"/>
    </row>
    <row r="539" spans="1:1" ht="12.75">
      <c r="A539" s="49"/>
    </row>
    <row r="540" spans="1:1" ht="12.75">
      <c r="A540" s="49"/>
    </row>
    <row r="541" spans="1:1" ht="12.75">
      <c r="A541" s="49"/>
    </row>
    <row r="542" spans="1:1" ht="12.75">
      <c r="A542" s="49"/>
    </row>
    <row r="543" spans="1:1" ht="12.75">
      <c r="A543" s="49"/>
    </row>
    <row r="544" spans="1:1" ht="12.75">
      <c r="A544" s="49"/>
    </row>
    <row r="545" spans="1:1" ht="12.75">
      <c r="A545" s="49"/>
    </row>
    <row r="546" spans="1:1" ht="12.75">
      <c r="A546" s="49"/>
    </row>
    <row r="547" spans="1:1" ht="12.75">
      <c r="A547" s="49"/>
    </row>
    <row r="548" spans="1:1" ht="12.75">
      <c r="A548" s="49"/>
    </row>
    <row r="549" spans="1:1" ht="12.75">
      <c r="A549" s="49"/>
    </row>
    <row r="550" spans="1:1" ht="12.75">
      <c r="A550" s="49"/>
    </row>
    <row r="551" spans="1:1" ht="12.75">
      <c r="A551" s="49"/>
    </row>
    <row r="552" spans="1:1" ht="12.75">
      <c r="A552" s="49"/>
    </row>
    <row r="553" spans="1:1" ht="12.75">
      <c r="A553" s="49"/>
    </row>
    <row r="554" spans="1:1" ht="12.75">
      <c r="A554" s="49"/>
    </row>
    <row r="555" spans="1:1" ht="12.75">
      <c r="A555" s="49"/>
    </row>
    <row r="556" spans="1:1" ht="12.75">
      <c r="A556" s="49"/>
    </row>
    <row r="557" spans="1:1" ht="12.75">
      <c r="A557" s="49"/>
    </row>
    <row r="558" spans="1:1" ht="12.75">
      <c r="A558" s="49"/>
    </row>
    <row r="559" spans="1:1" ht="12.75">
      <c r="A559" s="49"/>
    </row>
    <row r="560" spans="1:1" ht="12.75">
      <c r="A560" s="49"/>
    </row>
    <row r="561" spans="1:1" ht="12.75">
      <c r="A561" s="49"/>
    </row>
    <row r="562" spans="1:1" ht="12.75">
      <c r="A562" s="49"/>
    </row>
    <row r="563" spans="1:1" ht="12.75">
      <c r="A563" s="49"/>
    </row>
    <row r="564" spans="1:1" ht="12.75">
      <c r="A564" s="49"/>
    </row>
    <row r="565" spans="1:1" ht="12.75">
      <c r="A565" s="49"/>
    </row>
    <row r="566" spans="1:1" ht="12.75">
      <c r="A566" s="49"/>
    </row>
    <row r="567" spans="1:1" ht="12.75">
      <c r="A567" s="49"/>
    </row>
    <row r="568" spans="1:1" ht="12.75">
      <c r="A568" s="49"/>
    </row>
    <row r="569" spans="1:1" ht="12.75">
      <c r="A569" s="49"/>
    </row>
    <row r="570" spans="1:1" ht="12.75">
      <c r="A570" s="49"/>
    </row>
    <row r="571" spans="1:1" ht="12.75">
      <c r="A571" s="49"/>
    </row>
    <row r="572" spans="1:1" ht="12.75">
      <c r="A572" s="49"/>
    </row>
    <row r="573" spans="1:1" ht="12.75">
      <c r="A573" s="49"/>
    </row>
    <row r="574" spans="1:1" ht="12.75">
      <c r="A574" s="49"/>
    </row>
    <row r="575" spans="1:1" ht="12.75">
      <c r="A575" s="49"/>
    </row>
    <row r="576" spans="1:1" ht="12.75">
      <c r="A576" s="49"/>
    </row>
    <row r="577" spans="1:1" ht="12.75">
      <c r="A577" s="49"/>
    </row>
    <row r="578" spans="1:1" ht="12.75">
      <c r="A578" s="49"/>
    </row>
    <row r="579" spans="1:1" ht="12.75">
      <c r="A579" s="49"/>
    </row>
    <row r="580" spans="1:1" ht="12.75">
      <c r="A580" s="49"/>
    </row>
    <row r="581" spans="1:1" ht="12.75">
      <c r="A581" s="49"/>
    </row>
    <row r="582" spans="1:1" ht="12.75">
      <c r="A582" s="49"/>
    </row>
    <row r="583" spans="1:1" ht="12.75">
      <c r="A583" s="49"/>
    </row>
    <row r="584" spans="1:1" ht="12.75">
      <c r="A584" s="49"/>
    </row>
    <row r="585" spans="1:1" ht="12.75">
      <c r="A585" s="49"/>
    </row>
    <row r="586" spans="1:1" ht="12.75">
      <c r="A586" s="49"/>
    </row>
    <row r="587" spans="1:1" ht="12.75">
      <c r="A587" s="49"/>
    </row>
    <row r="588" spans="1:1" ht="12.75">
      <c r="A588" s="49"/>
    </row>
    <row r="589" spans="1:1" ht="12.75">
      <c r="A589" s="49"/>
    </row>
    <row r="590" spans="1:1" ht="12.75">
      <c r="A590" s="49"/>
    </row>
    <row r="591" spans="1:1" ht="12.75">
      <c r="A591" s="49"/>
    </row>
    <row r="592" spans="1:1" ht="12.75">
      <c r="A592" s="49"/>
    </row>
    <row r="593" spans="1:1" ht="12.75">
      <c r="A593" s="49"/>
    </row>
    <row r="594" spans="1:1" ht="12.75">
      <c r="A594" s="49"/>
    </row>
    <row r="595" spans="1:1" ht="12.75">
      <c r="A595" s="49"/>
    </row>
    <row r="596" spans="1:1" ht="12.75">
      <c r="A596" s="49"/>
    </row>
    <row r="597" spans="1:1" ht="12.75">
      <c r="A597" s="49"/>
    </row>
    <row r="598" spans="1:1" ht="12.75">
      <c r="A598" s="49"/>
    </row>
    <row r="599" spans="1:1" ht="12.75">
      <c r="A599" s="49"/>
    </row>
    <row r="600" spans="1:1" ht="12.75">
      <c r="A600" s="49"/>
    </row>
    <row r="601" spans="1:1" ht="12.75">
      <c r="A601" s="49"/>
    </row>
    <row r="602" spans="1:1" ht="12.75">
      <c r="A602" s="49"/>
    </row>
    <row r="603" spans="1:1" ht="12.75">
      <c r="A603" s="49"/>
    </row>
    <row r="604" spans="1:1" ht="12.75">
      <c r="A604" s="49"/>
    </row>
    <row r="605" spans="1:1" ht="12.75">
      <c r="A605" s="49"/>
    </row>
    <row r="606" spans="1:1" ht="12.75">
      <c r="A606" s="49"/>
    </row>
    <row r="607" spans="1:1" ht="12.75">
      <c r="A607" s="49"/>
    </row>
    <row r="608" spans="1:1" ht="12.75">
      <c r="A608" s="49"/>
    </row>
    <row r="609" spans="1:1" ht="12.75">
      <c r="A609" s="49"/>
    </row>
    <row r="610" spans="1:1" ht="12.75">
      <c r="A610" s="49"/>
    </row>
    <row r="611" spans="1:1" ht="12.75">
      <c r="A611" s="49"/>
    </row>
    <row r="612" spans="1:1" ht="12.75">
      <c r="A612" s="49"/>
    </row>
    <row r="613" spans="1:1" ht="12.75">
      <c r="A613" s="49"/>
    </row>
    <row r="614" spans="1:1" ht="12.75">
      <c r="A614" s="49"/>
    </row>
    <row r="615" spans="1:1" ht="12.75">
      <c r="A615" s="49"/>
    </row>
    <row r="616" spans="1:1" ht="12.75">
      <c r="A616" s="49"/>
    </row>
    <row r="617" spans="1:1" ht="12.75">
      <c r="A617" s="49"/>
    </row>
    <row r="618" spans="1:1" ht="12.75">
      <c r="A618" s="49"/>
    </row>
    <row r="619" spans="1:1" ht="12.75">
      <c r="A619" s="49"/>
    </row>
    <row r="620" spans="1:1" ht="12.75">
      <c r="A620" s="49"/>
    </row>
    <row r="621" spans="1:1" ht="12.75">
      <c r="A621" s="49"/>
    </row>
    <row r="622" spans="1:1" ht="12.75">
      <c r="A622" s="49"/>
    </row>
    <row r="623" spans="1:1" ht="12.75">
      <c r="A623" s="49"/>
    </row>
    <row r="624" spans="1:1" ht="12.75">
      <c r="A624" s="49"/>
    </row>
    <row r="625" spans="1:1" ht="12.75">
      <c r="A625" s="49"/>
    </row>
    <row r="626" spans="1:1" ht="12.75">
      <c r="A626" s="49"/>
    </row>
    <row r="627" spans="1:1" ht="12.75">
      <c r="A627" s="49"/>
    </row>
    <row r="628" spans="1:1" ht="12.75">
      <c r="A628" s="49"/>
    </row>
    <row r="629" spans="1:1" ht="12.75">
      <c r="A629" s="49"/>
    </row>
    <row r="630" spans="1:1" ht="12.75">
      <c r="A630" s="49"/>
    </row>
    <row r="631" spans="1:1" ht="12.75">
      <c r="A631" s="49"/>
    </row>
    <row r="632" spans="1:1" ht="12.75">
      <c r="A632" s="49"/>
    </row>
    <row r="633" spans="1:1" ht="12.75">
      <c r="A633" s="49"/>
    </row>
    <row r="634" spans="1:1" ht="12.75">
      <c r="A634" s="49"/>
    </row>
    <row r="635" spans="1:1" ht="12.75">
      <c r="A635" s="49"/>
    </row>
    <row r="636" spans="1:1" ht="12.75">
      <c r="A636" s="49"/>
    </row>
    <row r="637" spans="1:1" ht="12.75">
      <c r="A637" s="49"/>
    </row>
    <row r="638" spans="1:1" ht="12.75">
      <c r="A638" s="49"/>
    </row>
    <row r="639" spans="1:1" ht="12.75">
      <c r="A639" s="49"/>
    </row>
    <row r="640" spans="1:1" ht="12.75">
      <c r="A640" s="49"/>
    </row>
    <row r="641" spans="1:1" ht="12.75">
      <c r="A641" s="49"/>
    </row>
    <row r="642" spans="1:1" ht="12.75">
      <c r="A642" s="49"/>
    </row>
    <row r="643" spans="1:1" ht="12.75">
      <c r="A643" s="49"/>
    </row>
    <row r="644" spans="1:1" ht="12.75">
      <c r="A644" s="49"/>
    </row>
    <row r="645" spans="1:1" ht="12.75">
      <c r="A645" s="49"/>
    </row>
    <row r="646" spans="1:1" ht="12.75">
      <c r="A646" s="49"/>
    </row>
    <row r="647" spans="1:1" ht="12.75">
      <c r="A647" s="49"/>
    </row>
    <row r="648" spans="1:1" ht="12.75">
      <c r="A648" s="49"/>
    </row>
    <row r="649" spans="1:1" ht="12.75">
      <c r="A649" s="49"/>
    </row>
    <row r="650" spans="1:1" ht="12.75">
      <c r="A650" s="49"/>
    </row>
    <row r="651" spans="1:1" ht="12.75">
      <c r="A651" s="49"/>
    </row>
    <row r="652" spans="1:1" ht="12.75">
      <c r="A652" s="49"/>
    </row>
    <row r="653" spans="1:1" ht="12.75">
      <c r="A653" s="49"/>
    </row>
    <row r="654" spans="1:1" ht="12.75">
      <c r="A654" s="49"/>
    </row>
    <row r="655" spans="1:1" ht="12.75">
      <c r="A655" s="49"/>
    </row>
    <row r="656" spans="1:1" ht="12.75">
      <c r="A656" s="49"/>
    </row>
    <row r="657" spans="1:1" ht="12.75">
      <c r="A657" s="49"/>
    </row>
    <row r="658" spans="1:1" ht="12.75">
      <c r="A658" s="49"/>
    </row>
    <row r="659" spans="1:1" ht="12.75">
      <c r="A659" s="49"/>
    </row>
    <row r="660" spans="1:1" ht="12.75">
      <c r="A660" s="49"/>
    </row>
    <row r="661" spans="1:1" ht="12.75">
      <c r="A661" s="49"/>
    </row>
    <row r="662" spans="1:1" ht="12.75">
      <c r="A662" s="49"/>
    </row>
    <row r="663" spans="1:1" ht="12.75">
      <c r="A663" s="49"/>
    </row>
    <row r="664" spans="1:1" ht="12.75">
      <c r="A664" s="49"/>
    </row>
    <row r="665" spans="1:1" ht="12.75">
      <c r="A665" s="49"/>
    </row>
    <row r="666" spans="1:1" ht="12.75">
      <c r="A666" s="49"/>
    </row>
    <row r="667" spans="1:1" ht="12.75">
      <c r="A667" s="49"/>
    </row>
    <row r="668" spans="1:1" ht="12.75">
      <c r="A668" s="49"/>
    </row>
    <row r="669" spans="1:1" ht="12.75">
      <c r="A669" s="49"/>
    </row>
    <row r="670" spans="1:1" ht="12.75">
      <c r="A670" s="49"/>
    </row>
    <row r="671" spans="1:1" ht="12.75">
      <c r="A671" s="49"/>
    </row>
    <row r="672" spans="1:1" ht="12.75">
      <c r="A672" s="49"/>
    </row>
    <row r="673" spans="1:1" ht="12.75">
      <c r="A673" s="49"/>
    </row>
    <row r="674" spans="1:1" ht="12.75">
      <c r="A674" s="49"/>
    </row>
    <row r="675" spans="1:1" ht="12.75">
      <c r="A675" s="49"/>
    </row>
    <row r="676" spans="1:1" ht="12.75">
      <c r="A676" s="49"/>
    </row>
    <row r="677" spans="1:1" ht="12.75">
      <c r="A677" s="49"/>
    </row>
    <row r="678" spans="1:1" ht="12.75">
      <c r="A678" s="49"/>
    </row>
    <row r="679" spans="1:1" ht="12.75">
      <c r="A679" s="49"/>
    </row>
    <row r="680" spans="1:1" ht="12.75">
      <c r="A680" s="49"/>
    </row>
    <row r="681" spans="1:1" ht="12.75">
      <c r="A681" s="49"/>
    </row>
    <row r="682" spans="1:1" ht="12.75">
      <c r="A682" s="49"/>
    </row>
    <row r="683" spans="1:1" ht="12.75">
      <c r="A683" s="49"/>
    </row>
    <row r="684" spans="1:1" ht="12.75">
      <c r="A684" s="49"/>
    </row>
    <row r="685" spans="1:1" ht="12.75">
      <c r="A685" s="49"/>
    </row>
    <row r="686" spans="1:1" ht="12.75">
      <c r="A686" s="49"/>
    </row>
    <row r="687" spans="1:1" ht="12.75">
      <c r="A687" s="49"/>
    </row>
    <row r="688" spans="1:1" ht="12.75">
      <c r="A688" s="49"/>
    </row>
    <row r="689" spans="1:1" ht="12.75">
      <c r="A689" s="49"/>
    </row>
    <row r="690" spans="1:1" ht="12.75">
      <c r="A690" s="49"/>
    </row>
    <row r="691" spans="1:1" ht="12.75">
      <c r="A691" s="49"/>
    </row>
    <row r="692" spans="1:1" ht="12.75">
      <c r="A692" s="49"/>
    </row>
    <row r="693" spans="1:1" ht="12.75">
      <c r="A693" s="49"/>
    </row>
    <row r="694" spans="1:1" ht="12.75">
      <c r="A694" s="49"/>
    </row>
    <row r="695" spans="1:1" ht="12.75">
      <c r="A695" s="49"/>
    </row>
    <row r="696" spans="1:1" ht="12.75">
      <c r="A696" s="49"/>
    </row>
    <row r="697" spans="1:1" ht="12.75">
      <c r="A697" s="49"/>
    </row>
    <row r="698" spans="1:1" ht="12.75">
      <c r="A698" s="49"/>
    </row>
    <row r="699" spans="1:1" ht="12.75">
      <c r="A699" s="49"/>
    </row>
    <row r="700" spans="1:1" ht="12.75">
      <c r="A700" s="49"/>
    </row>
    <row r="701" spans="1:1" ht="12.75">
      <c r="A701" s="49"/>
    </row>
    <row r="702" spans="1:1" ht="12.75">
      <c r="A702" s="49"/>
    </row>
    <row r="703" spans="1:1" ht="12.75">
      <c r="A703" s="49"/>
    </row>
    <row r="704" spans="1:1" ht="12.75">
      <c r="A704" s="49"/>
    </row>
    <row r="705" spans="1:1" ht="12.75">
      <c r="A705" s="49"/>
    </row>
    <row r="706" spans="1:1" ht="12.75">
      <c r="A706" s="49"/>
    </row>
    <row r="707" spans="1:1" ht="12.75">
      <c r="A707" s="49"/>
    </row>
    <row r="708" spans="1:1" ht="12.75">
      <c r="A708" s="49"/>
    </row>
    <row r="709" spans="1:1" ht="12.75">
      <c r="A709" s="49"/>
    </row>
    <row r="710" spans="1:1" ht="12.75">
      <c r="A710" s="49"/>
    </row>
    <row r="711" spans="1:1" ht="12.75">
      <c r="A711" s="49"/>
    </row>
    <row r="712" spans="1:1" ht="12.75">
      <c r="A712" s="49"/>
    </row>
    <row r="713" spans="1:1" ht="12.75">
      <c r="A713" s="49"/>
    </row>
    <row r="714" spans="1:1" ht="12.75">
      <c r="A714" s="49"/>
    </row>
    <row r="715" spans="1:1" ht="12.75">
      <c r="A715" s="49"/>
    </row>
    <row r="716" spans="1:1" ht="12.75">
      <c r="A716" s="49"/>
    </row>
    <row r="717" spans="1:1" ht="12.75">
      <c r="A717" s="49"/>
    </row>
    <row r="718" spans="1:1" ht="12.75">
      <c r="A718" s="49"/>
    </row>
    <row r="719" spans="1:1" ht="12.75">
      <c r="A719" s="49"/>
    </row>
    <row r="720" spans="1:1" ht="12.75">
      <c r="A720" s="49"/>
    </row>
    <row r="721" spans="1:1" ht="12.75">
      <c r="A721" s="49"/>
    </row>
    <row r="722" spans="1:1" ht="12.75">
      <c r="A722" s="49"/>
    </row>
    <row r="723" spans="1:1" ht="12.75">
      <c r="A723" s="49"/>
    </row>
    <row r="724" spans="1:1" ht="12.75">
      <c r="A724" s="49"/>
    </row>
    <row r="725" spans="1:1" ht="12.75">
      <c r="A725" s="49"/>
    </row>
    <row r="726" spans="1:1" ht="12.75">
      <c r="A726" s="49"/>
    </row>
    <row r="727" spans="1:1" ht="12.75">
      <c r="A727" s="49"/>
    </row>
    <row r="728" spans="1:1" ht="12.75">
      <c r="A728" s="49"/>
    </row>
    <row r="729" spans="1:1" ht="12.75">
      <c r="A729" s="49"/>
    </row>
    <row r="730" spans="1:1" ht="12.75">
      <c r="A730" s="49"/>
    </row>
    <row r="731" spans="1:1" ht="12.75">
      <c r="A731" s="49"/>
    </row>
    <row r="732" spans="1:1" ht="12.75">
      <c r="A732" s="49"/>
    </row>
    <row r="733" spans="1:1" ht="12.75">
      <c r="A733" s="49"/>
    </row>
    <row r="734" spans="1:1" ht="12.75">
      <c r="A734" s="49"/>
    </row>
    <row r="735" spans="1:1" ht="12.75">
      <c r="A735" s="49"/>
    </row>
    <row r="736" spans="1:1" ht="12.75">
      <c r="A736" s="49"/>
    </row>
    <row r="737" spans="1:1" ht="12.75">
      <c r="A737" s="49"/>
    </row>
    <row r="738" spans="1:1" ht="12.75">
      <c r="A738" s="49"/>
    </row>
    <row r="739" spans="1:1" ht="12.75">
      <c r="A739" s="49"/>
    </row>
    <row r="740" spans="1:1" ht="12.75">
      <c r="A740" s="49"/>
    </row>
    <row r="741" spans="1:1" ht="12.75">
      <c r="A741" s="49"/>
    </row>
    <row r="742" spans="1:1" ht="12.75">
      <c r="A742" s="49"/>
    </row>
    <row r="743" spans="1:1" ht="12.75">
      <c r="A743" s="49"/>
    </row>
    <row r="744" spans="1:1" ht="12.75">
      <c r="A744" s="49"/>
    </row>
    <row r="745" spans="1:1" ht="12.75">
      <c r="A745" s="49"/>
    </row>
    <row r="746" spans="1:1" ht="12.75">
      <c r="A746" s="49"/>
    </row>
    <row r="747" spans="1:1" ht="12.75">
      <c r="A747" s="49"/>
    </row>
    <row r="748" spans="1:1" ht="12.75">
      <c r="A748" s="49"/>
    </row>
    <row r="749" spans="1:1" ht="12.75">
      <c r="A749" s="49"/>
    </row>
    <row r="750" spans="1:1" ht="12.75">
      <c r="A750" s="49"/>
    </row>
    <row r="751" spans="1:1" ht="12.75">
      <c r="A751" s="49"/>
    </row>
    <row r="752" spans="1:1" ht="12.75">
      <c r="A752" s="49"/>
    </row>
    <row r="753" spans="1:1" ht="12.75">
      <c r="A753" s="49"/>
    </row>
    <row r="754" spans="1:1" ht="12.75">
      <c r="A754" s="49"/>
    </row>
    <row r="755" spans="1:1" ht="12.75">
      <c r="A755" s="49"/>
    </row>
    <row r="756" spans="1:1" ht="12.75">
      <c r="A756" s="49"/>
    </row>
    <row r="757" spans="1:1" ht="12.75">
      <c r="A757" s="49"/>
    </row>
    <row r="758" spans="1:1" ht="12.75">
      <c r="A758" s="49"/>
    </row>
    <row r="759" spans="1:1" ht="12.75">
      <c r="A759" s="49"/>
    </row>
    <row r="760" spans="1:1" ht="12.75">
      <c r="A760" s="49"/>
    </row>
    <row r="761" spans="1:1" ht="12.75">
      <c r="A761" s="49"/>
    </row>
    <row r="762" spans="1:1" ht="12.75">
      <c r="A762" s="49"/>
    </row>
    <row r="763" spans="1:1" ht="12.75">
      <c r="A763" s="49"/>
    </row>
    <row r="764" spans="1:1" ht="12.75">
      <c r="A764" s="49"/>
    </row>
    <row r="765" spans="1:1" ht="12.75">
      <c r="A765" s="49"/>
    </row>
    <row r="766" spans="1:1" ht="12.75">
      <c r="A766" s="49"/>
    </row>
    <row r="767" spans="1:1" ht="12.75">
      <c r="A767" s="49"/>
    </row>
    <row r="768" spans="1:1" ht="12.75">
      <c r="A768" s="49"/>
    </row>
    <row r="769" spans="1:1" ht="12.75">
      <c r="A769" s="49"/>
    </row>
    <row r="770" spans="1:1" ht="12.75">
      <c r="A770" s="49"/>
    </row>
    <row r="771" spans="1:1" ht="12.75">
      <c r="A771" s="49"/>
    </row>
    <row r="772" spans="1:1" ht="12.75">
      <c r="A772" s="49"/>
    </row>
    <row r="773" spans="1:1" ht="12.75">
      <c r="A773" s="49"/>
    </row>
    <row r="774" spans="1:1" ht="12.75">
      <c r="A774" s="49"/>
    </row>
    <row r="775" spans="1:1" ht="12.75">
      <c r="A775" s="49"/>
    </row>
    <row r="776" spans="1:1" ht="12.75">
      <c r="A776" s="49"/>
    </row>
    <row r="777" spans="1:1" ht="12.75">
      <c r="A777" s="49"/>
    </row>
    <row r="778" spans="1:1" ht="12.75">
      <c r="A778" s="49"/>
    </row>
    <row r="779" spans="1:1" ht="12.75">
      <c r="A779" s="49"/>
    </row>
    <row r="780" spans="1:1" ht="12.75">
      <c r="A780" s="49"/>
    </row>
    <row r="781" spans="1:1" ht="12.75">
      <c r="A781" s="49"/>
    </row>
    <row r="782" spans="1:1" ht="12.75">
      <c r="A782" s="49"/>
    </row>
    <row r="783" spans="1:1" ht="12.75">
      <c r="A783" s="49"/>
    </row>
    <row r="784" spans="1:1" ht="12.75">
      <c r="A784" s="49"/>
    </row>
    <row r="785" spans="1:1" ht="12.75">
      <c r="A785" s="49"/>
    </row>
    <row r="786" spans="1:1" ht="12.75">
      <c r="A786" s="49"/>
    </row>
    <row r="787" spans="1:1" ht="12.75">
      <c r="A787" s="49"/>
    </row>
    <row r="788" spans="1:1" ht="12.75">
      <c r="A788" s="49"/>
    </row>
    <row r="789" spans="1:1" ht="12.75">
      <c r="A789" s="49"/>
    </row>
    <row r="790" spans="1:1" ht="12.75">
      <c r="A790" s="49"/>
    </row>
    <row r="791" spans="1:1" ht="12.75">
      <c r="A791" s="49"/>
    </row>
    <row r="792" spans="1:1" ht="12.75">
      <c r="A792" s="49"/>
    </row>
    <row r="793" spans="1:1" ht="12.75">
      <c r="A793" s="49"/>
    </row>
    <row r="794" spans="1:1" ht="12.75">
      <c r="A794" s="49"/>
    </row>
    <row r="795" spans="1:1" ht="12.75">
      <c r="A795" s="49"/>
    </row>
    <row r="796" spans="1:1" ht="12.75">
      <c r="A796" s="49"/>
    </row>
    <row r="797" spans="1:1" ht="12.75">
      <c r="A797" s="49"/>
    </row>
    <row r="798" spans="1:1" ht="12.75">
      <c r="A798" s="49"/>
    </row>
    <row r="799" spans="1:1" ht="12.75">
      <c r="A799" s="49"/>
    </row>
    <row r="800" spans="1:1" ht="12.75">
      <c r="A800" s="49"/>
    </row>
    <row r="801" spans="1:1" ht="12.75">
      <c r="A801" s="49"/>
    </row>
    <row r="802" spans="1:1" ht="12.75">
      <c r="A802" s="49"/>
    </row>
    <row r="803" spans="1:1" ht="12.75">
      <c r="A803" s="49"/>
    </row>
    <row r="804" spans="1:1" ht="12.75">
      <c r="A804" s="49"/>
    </row>
    <row r="805" spans="1:1" ht="12.75">
      <c r="A805" s="49"/>
    </row>
    <row r="806" spans="1:1" ht="12.75">
      <c r="A806" s="49"/>
    </row>
    <row r="807" spans="1:1" ht="12.75">
      <c r="A807" s="49"/>
    </row>
    <row r="808" spans="1:1" ht="12.75">
      <c r="A808" s="49"/>
    </row>
    <row r="809" spans="1:1" ht="12.75">
      <c r="A809" s="49"/>
    </row>
    <row r="810" spans="1:1" ht="12.75">
      <c r="A810" s="49"/>
    </row>
    <row r="811" spans="1:1" ht="12.75">
      <c r="A811" s="49"/>
    </row>
    <row r="812" spans="1:1" ht="12.75">
      <c r="A812" s="49"/>
    </row>
    <row r="813" spans="1:1" ht="12.75">
      <c r="A813" s="49"/>
    </row>
    <row r="814" spans="1:1" ht="12.75">
      <c r="A814" s="49"/>
    </row>
    <row r="815" spans="1:1" ht="12.75">
      <c r="A815" s="49"/>
    </row>
    <row r="816" spans="1:1" ht="12.75">
      <c r="A816" s="49"/>
    </row>
    <row r="817" spans="1:1" ht="12.75">
      <c r="A817" s="49"/>
    </row>
    <row r="818" spans="1:1" ht="12.75">
      <c r="A818" s="49"/>
    </row>
    <row r="819" spans="1:1" ht="12.75">
      <c r="A819" s="49"/>
    </row>
    <row r="820" spans="1:1" ht="12.75">
      <c r="A820" s="49"/>
    </row>
    <row r="821" spans="1:1" ht="12.75">
      <c r="A821" s="49"/>
    </row>
    <row r="822" spans="1:1" ht="12.75">
      <c r="A822" s="49"/>
    </row>
    <row r="823" spans="1:1" ht="12.75">
      <c r="A823" s="49"/>
    </row>
    <row r="824" spans="1:1" ht="12.75">
      <c r="A824" s="49"/>
    </row>
    <row r="825" spans="1:1" ht="12.75">
      <c r="A825" s="49"/>
    </row>
    <row r="826" spans="1:1" ht="12.75">
      <c r="A826" s="49"/>
    </row>
    <row r="827" spans="1:1" ht="12.75">
      <c r="A827" s="49"/>
    </row>
    <row r="828" spans="1:1" ht="12.75">
      <c r="A828" s="49"/>
    </row>
    <row r="829" spans="1:1" ht="12.75">
      <c r="A829" s="49"/>
    </row>
    <row r="830" spans="1:1" ht="12.75">
      <c r="A830" s="49"/>
    </row>
    <row r="831" spans="1:1" ht="12.75">
      <c r="A831" s="49"/>
    </row>
    <row r="832" spans="1:1" ht="12.75">
      <c r="A832" s="49"/>
    </row>
    <row r="833" spans="1:1" ht="12.75">
      <c r="A833" s="49"/>
    </row>
    <row r="834" spans="1:1" ht="12.75">
      <c r="A834" s="49"/>
    </row>
    <row r="835" spans="1:1" ht="12.75">
      <c r="A835" s="49"/>
    </row>
    <row r="836" spans="1:1" ht="12.75">
      <c r="A836" s="49"/>
    </row>
    <row r="837" spans="1:1" ht="12.75">
      <c r="A837" s="49"/>
    </row>
    <row r="838" spans="1:1" ht="12.75">
      <c r="A838" s="49"/>
    </row>
    <row r="839" spans="1:1" ht="12.75">
      <c r="A839" s="49"/>
    </row>
    <row r="840" spans="1:1" ht="12.75">
      <c r="A840" s="49"/>
    </row>
    <row r="841" spans="1:1" ht="12.75">
      <c r="A841" s="49"/>
    </row>
    <row r="842" spans="1:1" ht="12.75">
      <c r="A842" s="49"/>
    </row>
    <row r="843" spans="1:1" ht="12.75">
      <c r="A843" s="49"/>
    </row>
    <row r="844" spans="1:1" ht="12.75">
      <c r="A844" s="49"/>
    </row>
    <row r="845" spans="1:1" ht="12.75">
      <c r="A845" s="49"/>
    </row>
    <row r="846" spans="1:1" ht="12.75">
      <c r="A846" s="49"/>
    </row>
    <row r="847" spans="1:1" ht="12.75">
      <c r="A847" s="49"/>
    </row>
    <row r="848" spans="1:1" ht="12.75">
      <c r="A848" s="49"/>
    </row>
    <row r="849" spans="1:1" ht="12.75">
      <c r="A849" s="49"/>
    </row>
    <row r="850" spans="1:1" ht="12.75">
      <c r="A850" s="49"/>
    </row>
    <row r="851" spans="1:1" ht="12.75">
      <c r="A851" s="49"/>
    </row>
    <row r="852" spans="1:1" ht="12.75">
      <c r="A852" s="49"/>
    </row>
    <row r="853" spans="1:1" ht="12.75">
      <c r="A853" s="49"/>
    </row>
    <row r="854" spans="1:1" ht="12.75">
      <c r="A854" s="49"/>
    </row>
    <row r="855" spans="1:1" ht="12.75">
      <c r="A855" s="49"/>
    </row>
    <row r="856" spans="1:1" ht="12.75">
      <c r="A856" s="49"/>
    </row>
    <row r="857" spans="1:1" ht="12.75">
      <c r="A857" s="49"/>
    </row>
    <row r="858" spans="1:1" ht="12.75">
      <c r="A858" s="49"/>
    </row>
    <row r="859" spans="1:1" ht="12.75">
      <c r="A859" s="49"/>
    </row>
    <row r="860" spans="1:1" ht="12.75">
      <c r="A860" s="49"/>
    </row>
    <row r="861" spans="1:1" ht="12.75">
      <c r="A861" s="49"/>
    </row>
    <row r="862" spans="1:1" ht="12.75">
      <c r="A862" s="49"/>
    </row>
    <row r="863" spans="1:1" ht="12.75">
      <c r="A863" s="49"/>
    </row>
    <row r="864" spans="1:1" ht="12.75">
      <c r="A864" s="49"/>
    </row>
    <row r="865" spans="1:1" ht="12.75">
      <c r="A865" s="49"/>
    </row>
    <row r="866" spans="1:1" ht="12.75">
      <c r="A866" s="49"/>
    </row>
    <row r="867" spans="1:1" ht="12.75">
      <c r="A867" s="49"/>
    </row>
    <row r="868" spans="1:1" ht="12.75">
      <c r="A868" s="49"/>
    </row>
    <row r="869" spans="1:1" ht="12.75">
      <c r="A869" s="49"/>
    </row>
    <row r="870" spans="1:1" ht="12.75">
      <c r="A870" s="49"/>
    </row>
    <row r="871" spans="1:1" ht="12.75">
      <c r="A871" s="49"/>
    </row>
    <row r="872" spans="1:1" ht="12.75">
      <c r="A872" s="49"/>
    </row>
    <row r="873" spans="1:1" ht="12.75">
      <c r="A873" s="49"/>
    </row>
    <row r="874" spans="1:1" ht="12.75">
      <c r="A874" s="49"/>
    </row>
    <row r="875" spans="1:1" ht="12.75">
      <c r="A875" s="49"/>
    </row>
    <row r="876" spans="1:1" ht="12.75">
      <c r="A876" s="49"/>
    </row>
    <row r="877" spans="1:1" ht="12.75">
      <c r="A877" s="49"/>
    </row>
    <row r="878" spans="1:1" ht="12.75">
      <c r="A878" s="49"/>
    </row>
    <row r="879" spans="1:1" ht="12.75">
      <c r="A879" s="49"/>
    </row>
    <row r="880" spans="1:1" ht="12.75">
      <c r="A880" s="49"/>
    </row>
    <row r="881" spans="1:1" ht="12.75">
      <c r="A881" s="49"/>
    </row>
    <row r="882" spans="1:1" ht="12.75">
      <c r="A882" s="49"/>
    </row>
    <row r="883" spans="1:1" ht="12.75">
      <c r="A883" s="49"/>
    </row>
    <row r="884" spans="1:1" ht="12.75">
      <c r="A884" s="49"/>
    </row>
    <row r="885" spans="1:1" ht="12.75">
      <c r="A885" s="49"/>
    </row>
    <row r="886" spans="1:1" ht="12.75">
      <c r="A886" s="49"/>
    </row>
    <row r="887" spans="1:1" ht="12.75">
      <c r="A887" s="49"/>
    </row>
    <row r="888" spans="1:1" ht="12.75">
      <c r="A888" s="49"/>
    </row>
    <row r="889" spans="1:1" ht="12.75">
      <c r="A889" s="49"/>
    </row>
    <row r="890" spans="1:1" ht="12.75">
      <c r="A890" s="49"/>
    </row>
    <row r="891" spans="1:1" ht="12.75">
      <c r="A891" s="49"/>
    </row>
    <row r="892" spans="1:1" ht="12.75">
      <c r="A892" s="49"/>
    </row>
    <row r="893" spans="1:1" ht="12.75">
      <c r="A893" s="49"/>
    </row>
    <row r="894" spans="1:1" ht="12.75">
      <c r="A894" s="49"/>
    </row>
    <row r="895" spans="1:1" ht="12.75">
      <c r="A895" s="49"/>
    </row>
    <row r="896" spans="1:1" ht="12.75">
      <c r="A896" s="49"/>
    </row>
    <row r="897" spans="1:1" ht="12.75">
      <c r="A897" s="49"/>
    </row>
    <row r="898" spans="1:1" ht="12.75">
      <c r="A898" s="49"/>
    </row>
    <row r="899" spans="1:1" ht="12.75">
      <c r="A899" s="49"/>
    </row>
    <row r="900" spans="1:1" ht="12.75">
      <c r="A900" s="49"/>
    </row>
    <row r="901" spans="1:1" ht="12.75">
      <c r="A901" s="49"/>
    </row>
    <row r="902" spans="1:1" ht="12.75">
      <c r="A902" s="49"/>
    </row>
    <row r="903" spans="1:1" ht="12.75">
      <c r="A903" s="49"/>
    </row>
    <row r="904" spans="1:1" ht="12.75">
      <c r="A904" s="49"/>
    </row>
    <row r="905" spans="1:1" ht="12.75">
      <c r="A905" s="49"/>
    </row>
    <row r="906" spans="1:1" ht="12.75">
      <c r="A906" s="49"/>
    </row>
    <row r="907" spans="1:1" ht="12.75">
      <c r="A907" s="49"/>
    </row>
    <row r="908" spans="1:1" ht="12.75">
      <c r="A908" s="49"/>
    </row>
    <row r="909" spans="1:1" ht="12.75">
      <c r="A909" s="49"/>
    </row>
    <row r="910" spans="1:1" ht="12.75">
      <c r="A910" s="49"/>
    </row>
    <row r="911" spans="1:1" ht="12.75">
      <c r="A911" s="49"/>
    </row>
    <row r="912" spans="1:1" ht="12.75">
      <c r="A912" s="49"/>
    </row>
    <row r="913" spans="1:1" ht="12.75">
      <c r="A913" s="49"/>
    </row>
    <row r="914" spans="1:1" ht="12.75">
      <c r="A914" s="49"/>
    </row>
    <row r="915" spans="1:1" ht="12.75">
      <c r="A915" s="49"/>
    </row>
    <row r="916" spans="1:1" ht="12.75">
      <c r="A916" s="49"/>
    </row>
    <row r="917" spans="1:1" ht="12.75">
      <c r="A917" s="49"/>
    </row>
    <row r="918" spans="1:1" ht="12.75">
      <c r="A918" s="49"/>
    </row>
    <row r="919" spans="1:1" ht="12.75">
      <c r="A919" s="49"/>
    </row>
    <row r="920" spans="1:1" ht="12.75">
      <c r="A920" s="49"/>
    </row>
    <row r="921" spans="1:1" ht="12.75">
      <c r="A921" s="49"/>
    </row>
    <row r="922" spans="1:1" ht="12.75">
      <c r="A922" s="49"/>
    </row>
    <row r="923" spans="1:1" ht="12.75">
      <c r="A923" s="49"/>
    </row>
    <row r="924" spans="1:1" ht="12.75">
      <c r="A924" s="49"/>
    </row>
    <row r="925" spans="1:1" ht="12.75">
      <c r="A925" s="49"/>
    </row>
    <row r="926" spans="1:1" ht="12.75">
      <c r="A926" s="49"/>
    </row>
    <row r="927" spans="1:1" ht="12.75">
      <c r="A927" s="49"/>
    </row>
    <row r="928" spans="1:1" ht="12.75">
      <c r="A928" s="49"/>
    </row>
    <row r="929" spans="1:1" ht="12.75">
      <c r="A929" s="49"/>
    </row>
    <row r="930" spans="1:1" ht="12.75">
      <c r="A930" s="49"/>
    </row>
    <row r="931" spans="1:1" ht="12.75">
      <c r="A931" s="49"/>
    </row>
    <row r="932" spans="1:1" ht="12.75">
      <c r="A932" s="49"/>
    </row>
    <row r="933" spans="1:1" ht="12.75">
      <c r="A933" s="49"/>
    </row>
    <row r="934" spans="1:1" ht="12.75">
      <c r="A934" s="49"/>
    </row>
    <row r="935" spans="1:1" ht="12.75">
      <c r="A935" s="49"/>
    </row>
    <row r="936" spans="1:1" ht="12.75">
      <c r="A936" s="49"/>
    </row>
    <row r="937" spans="1:1" ht="12.75">
      <c r="A937" s="49"/>
    </row>
    <row r="938" spans="1:1" ht="12.75">
      <c r="A938" s="49"/>
    </row>
    <row r="939" spans="1:1" ht="12.75">
      <c r="A939" s="49"/>
    </row>
    <row r="940" spans="1:1" ht="12.75">
      <c r="A940" s="49"/>
    </row>
    <row r="941" spans="1:1" ht="12.75">
      <c r="A941" s="49"/>
    </row>
    <row r="942" spans="1:1" ht="12.75">
      <c r="A942" s="49"/>
    </row>
    <row r="943" spans="1:1" ht="12.75">
      <c r="A943" s="49"/>
    </row>
    <row r="944" spans="1:1" ht="12.75">
      <c r="A944" s="49"/>
    </row>
    <row r="945" spans="1:1" ht="12.75">
      <c r="A945" s="49"/>
    </row>
    <row r="946" spans="1:1" ht="12.75">
      <c r="A946" s="49"/>
    </row>
    <row r="947" spans="1:1" ht="12.75">
      <c r="A947" s="49"/>
    </row>
    <row r="948" spans="1:1" ht="12.75">
      <c r="A948" s="49"/>
    </row>
    <row r="949" spans="1:1" ht="12.75">
      <c r="A949" s="49"/>
    </row>
    <row r="950" spans="1:1" ht="12.75">
      <c r="A950" s="49"/>
    </row>
    <row r="951" spans="1:1" ht="12.75">
      <c r="A951" s="49"/>
    </row>
    <row r="952" spans="1:1" ht="12.75">
      <c r="A952" s="49"/>
    </row>
    <row r="953" spans="1:1" ht="12.75">
      <c r="A953" s="49"/>
    </row>
    <row r="954" spans="1:1" ht="12.75">
      <c r="A954" s="49"/>
    </row>
    <row r="955" spans="1:1" ht="12.75">
      <c r="A955" s="49"/>
    </row>
    <row r="956" spans="1:1" ht="12.75">
      <c r="A956" s="49"/>
    </row>
    <row r="957" spans="1:1" ht="12.75">
      <c r="A957" s="49"/>
    </row>
    <row r="958" spans="1:1" ht="12.75">
      <c r="A958" s="49"/>
    </row>
    <row r="959" spans="1:1" ht="12.75">
      <c r="A959" s="49"/>
    </row>
    <row r="960" spans="1:1" ht="12.75">
      <c r="A960" s="49"/>
    </row>
    <row r="961" spans="1:1" ht="12.75">
      <c r="A961" s="49"/>
    </row>
    <row r="962" spans="1:1" ht="12.75">
      <c r="A962" s="49"/>
    </row>
    <row r="963" spans="1:1" ht="12.75">
      <c r="A963" s="49"/>
    </row>
    <row r="964" spans="1:1" ht="12.75">
      <c r="A964" s="49"/>
    </row>
    <row r="965" spans="1:1" ht="12.75">
      <c r="A965" s="49"/>
    </row>
    <row r="966" spans="1:1" ht="12.75">
      <c r="A966" s="49"/>
    </row>
    <row r="967" spans="1:1" ht="12.75">
      <c r="A967" s="49"/>
    </row>
    <row r="968" spans="1:1" ht="12.75">
      <c r="A968" s="49"/>
    </row>
    <row r="969" spans="1:1" ht="12.75">
      <c r="A969" s="49"/>
    </row>
    <row r="970" spans="1:1" ht="12.75">
      <c r="A970" s="49"/>
    </row>
    <row r="971" spans="1:1" ht="12.75">
      <c r="A971" s="49"/>
    </row>
    <row r="972" spans="1:1" ht="12.75">
      <c r="A972" s="49"/>
    </row>
    <row r="973" spans="1:1" ht="12.75">
      <c r="A973" s="49"/>
    </row>
    <row r="974" spans="1:1" ht="12.75">
      <c r="A974" s="49"/>
    </row>
    <row r="975" spans="1:1" ht="12.75">
      <c r="A975" s="49"/>
    </row>
    <row r="976" spans="1:1" ht="12.75">
      <c r="A976" s="49"/>
    </row>
    <row r="977" spans="1:1" ht="12.75">
      <c r="A977" s="49"/>
    </row>
    <row r="978" spans="1:1" ht="12.75">
      <c r="A978" s="49"/>
    </row>
    <row r="979" spans="1:1" ht="12.75">
      <c r="A979" s="49"/>
    </row>
    <row r="980" spans="1:1" ht="12.75">
      <c r="A980" s="49"/>
    </row>
    <row r="981" spans="1:1" ht="12.75">
      <c r="A981" s="49"/>
    </row>
    <row r="982" spans="1:1" ht="12.75">
      <c r="A982" s="49"/>
    </row>
    <row r="983" spans="1:1" ht="12.75">
      <c r="A983" s="49"/>
    </row>
    <row r="984" spans="1:1" ht="12.75">
      <c r="A984" s="49"/>
    </row>
    <row r="985" spans="1:1" ht="12.75">
      <c r="A985" s="49"/>
    </row>
    <row r="986" spans="1:1" ht="12.75">
      <c r="A986" s="49"/>
    </row>
    <row r="987" spans="1:1" ht="12.75">
      <c r="A987" s="49"/>
    </row>
    <row r="988" spans="1:1" ht="12.75">
      <c r="A988" s="49"/>
    </row>
    <row r="989" spans="1:1" ht="12.75">
      <c r="A989" s="49"/>
    </row>
    <row r="990" spans="1:1" ht="12.75">
      <c r="A990" s="49"/>
    </row>
    <row r="991" spans="1:1" ht="12.75">
      <c r="A991" s="49"/>
    </row>
    <row r="992" spans="1:1" ht="12.75">
      <c r="A992" s="49"/>
    </row>
    <row r="993" spans="1:1" ht="12.75">
      <c r="A993" s="49"/>
    </row>
    <row r="994" spans="1:1" ht="12.75">
      <c r="A994" s="49"/>
    </row>
    <row r="995" spans="1:1" ht="12.75">
      <c r="A995" s="49"/>
    </row>
    <row r="996" spans="1:1" ht="12.75">
      <c r="A996" s="49"/>
    </row>
    <row r="997" spans="1:1" ht="12.75">
      <c r="A997" s="49"/>
    </row>
    <row r="998" spans="1:1" ht="12.75">
      <c r="A998" s="49"/>
    </row>
    <row r="999" spans="1:1" ht="12.75">
      <c r="A999" s="49"/>
    </row>
    <row r="1000" spans="1:1" ht="12.75">
      <c r="A1000" s="49"/>
    </row>
  </sheetData>
  <autoFilter ref="A1:H115">
    <filterColumn colId="0">
      <filters blank="1">
        <filter val="OK"/>
      </filters>
    </filterColumn>
  </autoFilter>
  <conditionalFormatting sqref="A1:A1000">
    <cfRule type="containsText" dxfId="1" priority="1" operator="containsText" text="OK">
      <formula>NOT(ISERROR(SEARCH(("OK"),(A1))))</formula>
    </cfRule>
  </conditionalFormatting>
  <conditionalFormatting sqref="A1:A1000">
    <cfRule type="containsText" dxfId="0" priority="2" operator="containsText" text="Não">
      <formula>NOT(ISERROR(SEARCH(("Não"),(A1))))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ySplit="1" topLeftCell="A520" activePane="bottomLeft" state="frozen"/>
      <selection pane="bottomLeft" activeCell="B3" sqref="B3"/>
    </sheetView>
  </sheetViews>
  <sheetFormatPr defaultColWidth="12.5703125" defaultRowHeight="15.75" customHeight="1"/>
  <cols>
    <col min="3" max="3" width="64.85546875" customWidth="1"/>
    <col min="4" max="4" width="13.7109375" customWidth="1"/>
  </cols>
  <sheetData>
    <row r="1" spans="1:26">
      <c r="A1" s="114" t="s">
        <v>304</v>
      </c>
      <c r="B1" s="114" t="s">
        <v>723</v>
      </c>
      <c r="C1" s="115" t="s">
        <v>1001</v>
      </c>
      <c r="D1" s="116" t="s">
        <v>725</v>
      </c>
      <c r="E1" s="116" t="s">
        <v>726</v>
      </c>
      <c r="F1" s="116" t="s">
        <v>727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>
      <c r="A2" s="117" t="s">
        <v>307</v>
      </c>
      <c r="B2" s="117" t="s">
        <v>1002</v>
      </c>
      <c r="C2" s="118" t="s">
        <v>1003</v>
      </c>
      <c r="D2" s="13" t="s">
        <v>732</v>
      </c>
      <c r="E2" s="13" t="s">
        <v>733</v>
      </c>
      <c r="F2" s="119" t="s">
        <v>1004</v>
      </c>
    </row>
    <row r="3" spans="1:26">
      <c r="A3" s="117" t="s">
        <v>307</v>
      </c>
      <c r="B3" s="117" t="s">
        <v>1005</v>
      </c>
      <c r="C3" s="118" t="s">
        <v>1006</v>
      </c>
      <c r="D3" s="13" t="s">
        <v>732</v>
      </c>
      <c r="E3" s="13" t="s">
        <v>733</v>
      </c>
      <c r="F3" s="119" t="s">
        <v>1004</v>
      </c>
    </row>
    <row r="4" spans="1:26">
      <c r="A4" s="117" t="s">
        <v>307</v>
      </c>
      <c r="B4" s="117" t="s">
        <v>1007</v>
      </c>
      <c r="C4" s="118" t="s">
        <v>1008</v>
      </c>
      <c r="D4" s="13" t="s">
        <v>732</v>
      </c>
      <c r="E4" s="13" t="s">
        <v>733</v>
      </c>
      <c r="F4" s="119" t="s">
        <v>1009</v>
      </c>
    </row>
    <row r="5" spans="1:26">
      <c r="A5" s="117" t="s">
        <v>307</v>
      </c>
      <c r="B5" s="117" t="s">
        <v>1010</v>
      </c>
      <c r="C5" s="118" t="s">
        <v>1011</v>
      </c>
      <c r="D5" s="13" t="s">
        <v>732</v>
      </c>
      <c r="E5" s="13" t="s">
        <v>733</v>
      </c>
      <c r="F5" s="119" t="s">
        <v>1012</v>
      </c>
    </row>
    <row r="6" spans="1:26">
      <c r="A6" s="117" t="s">
        <v>307</v>
      </c>
      <c r="B6" s="117" t="s">
        <v>1013</v>
      </c>
      <c r="C6" s="118" t="s">
        <v>1014</v>
      </c>
      <c r="D6" s="13" t="s">
        <v>732</v>
      </c>
      <c r="E6" s="13" t="s">
        <v>733</v>
      </c>
      <c r="F6" s="119" t="s">
        <v>1015</v>
      </c>
    </row>
    <row r="7" spans="1:26">
      <c r="A7" s="117" t="s">
        <v>307</v>
      </c>
      <c r="B7" s="117" t="s">
        <v>1016</v>
      </c>
      <c r="C7" s="118" t="s">
        <v>1017</v>
      </c>
      <c r="D7" s="13" t="s">
        <v>732</v>
      </c>
      <c r="E7" s="13" t="s">
        <v>733</v>
      </c>
      <c r="F7" s="119" t="s">
        <v>1018</v>
      </c>
    </row>
    <row r="8" spans="1:26">
      <c r="A8" s="117" t="s">
        <v>307</v>
      </c>
      <c r="B8" s="117" t="s">
        <v>1019</v>
      </c>
      <c r="C8" s="118" t="s">
        <v>1020</v>
      </c>
      <c r="D8" s="13" t="s">
        <v>732</v>
      </c>
      <c r="E8" s="13" t="s">
        <v>733</v>
      </c>
      <c r="F8" s="119" t="s">
        <v>1021</v>
      </c>
    </row>
    <row r="9" spans="1:26">
      <c r="A9" s="117" t="s">
        <v>307</v>
      </c>
      <c r="B9" s="117" t="s">
        <v>1022</v>
      </c>
      <c r="C9" s="118" t="s">
        <v>1023</v>
      </c>
      <c r="D9" s="13" t="s">
        <v>732</v>
      </c>
      <c r="E9" s="13" t="s">
        <v>733</v>
      </c>
      <c r="F9" s="119" t="s">
        <v>1024</v>
      </c>
    </row>
    <row r="10" spans="1:26">
      <c r="A10" s="117" t="s">
        <v>307</v>
      </c>
      <c r="B10" s="117" t="s">
        <v>1025</v>
      </c>
      <c r="C10" s="118" t="s">
        <v>1026</v>
      </c>
      <c r="D10" s="13" t="s">
        <v>732</v>
      </c>
      <c r="E10" s="13" t="s">
        <v>733</v>
      </c>
      <c r="F10" s="119" t="s">
        <v>1027</v>
      </c>
    </row>
    <row r="11" spans="1:26">
      <c r="A11" s="117" t="s">
        <v>307</v>
      </c>
      <c r="B11" s="117" t="s">
        <v>730</v>
      </c>
      <c r="C11" s="118" t="s">
        <v>1028</v>
      </c>
      <c r="D11" s="13" t="s">
        <v>732</v>
      </c>
      <c r="E11" s="13" t="s">
        <v>733</v>
      </c>
      <c r="F11" s="119" t="s">
        <v>1004</v>
      </c>
    </row>
    <row r="12" spans="1:26">
      <c r="A12" s="117" t="s">
        <v>307</v>
      </c>
      <c r="B12" s="117" t="s">
        <v>1029</v>
      </c>
      <c r="C12" s="118" t="s">
        <v>1030</v>
      </c>
      <c r="D12" s="13" t="s">
        <v>732</v>
      </c>
      <c r="E12" s="13" t="s">
        <v>733</v>
      </c>
      <c r="F12" s="119" t="s">
        <v>1004</v>
      </c>
    </row>
    <row r="13" spans="1:26">
      <c r="A13" s="117" t="s">
        <v>307</v>
      </c>
      <c r="B13" s="117" t="s">
        <v>1031</v>
      </c>
      <c r="C13" s="118" t="s">
        <v>1032</v>
      </c>
      <c r="D13" s="13" t="s">
        <v>732</v>
      </c>
      <c r="E13" s="13" t="s">
        <v>733</v>
      </c>
      <c r="F13" s="119" t="s">
        <v>1033</v>
      </c>
    </row>
    <row r="14" spans="1:26">
      <c r="A14" s="117" t="s">
        <v>307</v>
      </c>
      <c r="B14" s="117" t="s">
        <v>1034</v>
      </c>
      <c r="C14" s="118" t="s">
        <v>1035</v>
      </c>
      <c r="D14" s="13" t="s">
        <v>732</v>
      </c>
      <c r="E14" s="13" t="s">
        <v>733</v>
      </c>
      <c r="F14" s="119" t="s">
        <v>1036</v>
      </c>
    </row>
    <row r="15" spans="1:26">
      <c r="A15" s="117" t="s">
        <v>307</v>
      </c>
      <c r="B15" s="117" t="s">
        <v>736</v>
      </c>
      <c r="C15" s="118" t="s">
        <v>737</v>
      </c>
      <c r="D15" s="13" t="s">
        <v>732</v>
      </c>
      <c r="E15" s="13" t="s">
        <v>733</v>
      </c>
      <c r="F15" s="119" t="s">
        <v>1021</v>
      </c>
    </row>
    <row r="16" spans="1:26">
      <c r="A16" s="117" t="s">
        <v>307</v>
      </c>
      <c r="B16" s="117" t="s">
        <v>739</v>
      </c>
      <c r="C16" s="118" t="s">
        <v>740</v>
      </c>
      <c r="D16" s="13" t="s">
        <v>732</v>
      </c>
      <c r="E16" s="13" t="s">
        <v>733</v>
      </c>
      <c r="F16" s="119" t="s">
        <v>1036</v>
      </c>
    </row>
    <row r="17" spans="1:6">
      <c r="A17" s="117" t="s">
        <v>307</v>
      </c>
      <c r="B17" s="117" t="s">
        <v>1037</v>
      </c>
      <c r="C17" s="118" t="s">
        <v>1038</v>
      </c>
      <c r="D17" s="13" t="s">
        <v>732</v>
      </c>
      <c r="E17" s="13" t="s">
        <v>726</v>
      </c>
      <c r="F17" s="119" t="s">
        <v>1004</v>
      </c>
    </row>
    <row r="18" spans="1:6">
      <c r="A18" s="117" t="s">
        <v>307</v>
      </c>
      <c r="B18" s="117" t="s">
        <v>742</v>
      </c>
      <c r="C18" s="118" t="s">
        <v>743</v>
      </c>
      <c r="D18" s="13" t="s">
        <v>732</v>
      </c>
      <c r="E18" s="13" t="s">
        <v>733</v>
      </c>
      <c r="F18" s="119" t="s">
        <v>1036</v>
      </c>
    </row>
    <row r="19" spans="1:6">
      <c r="A19" s="117" t="s">
        <v>307</v>
      </c>
      <c r="B19" s="117" t="s">
        <v>745</v>
      </c>
      <c r="C19" s="118" t="s">
        <v>746</v>
      </c>
      <c r="D19" s="13" t="s">
        <v>732</v>
      </c>
      <c r="E19" s="13" t="s">
        <v>733</v>
      </c>
      <c r="F19" s="119" t="s">
        <v>1033</v>
      </c>
    </row>
    <row r="20" spans="1:6">
      <c r="A20" s="117" t="s">
        <v>307</v>
      </c>
      <c r="B20" s="117" t="s">
        <v>39</v>
      </c>
      <c r="C20" s="118" t="s">
        <v>748</v>
      </c>
      <c r="D20" s="13" t="s">
        <v>732</v>
      </c>
      <c r="E20" s="13" t="s">
        <v>733</v>
      </c>
      <c r="F20" s="119" t="s">
        <v>1004</v>
      </c>
    </row>
    <row r="21" spans="1:6">
      <c r="A21" s="117" t="s">
        <v>307</v>
      </c>
      <c r="B21" s="117" t="s">
        <v>750</v>
      </c>
      <c r="C21" s="118" t="s">
        <v>751</v>
      </c>
      <c r="D21" s="13" t="s">
        <v>732</v>
      </c>
      <c r="E21" s="13" t="s">
        <v>733</v>
      </c>
      <c r="F21" s="119" t="s">
        <v>1018</v>
      </c>
    </row>
    <row r="22" spans="1:6">
      <c r="A22" s="117" t="s">
        <v>307</v>
      </c>
      <c r="B22" s="117" t="s">
        <v>752</v>
      </c>
      <c r="C22" s="118" t="s">
        <v>753</v>
      </c>
      <c r="D22" s="13" t="s">
        <v>732</v>
      </c>
      <c r="E22" s="13" t="s">
        <v>733</v>
      </c>
      <c r="F22" s="119" t="s">
        <v>1018</v>
      </c>
    </row>
    <row r="23" spans="1:6">
      <c r="A23" s="117" t="s">
        <v>307</v>
      </c>
      <c r="B23" s="117" t="s">
        <v>1039</v>
      </c>
      <c r="C23" s="118" t="s">
        <v>1040</v>
      </c>
      <c r="D23" s="13" t="s">
        <v>308</v>
      </c>
      <c r="E23" s="13" t="s">
        <v>726</v>
      </c>
      <c r="F23" s="119" t="s">
        <v>1041</v>
      </c>
    </row>
    <row r="24" spans="1:6">
      <c r="A24" s="117" t="s">
        <v>307</v>
      </c>
      <c r="B24" s="117" t="s">
        <v>1042</v>
      </c>
      <c r="C24" s="118" t="s">
        <v>1043</v>
      </c>
      <c r="D24" s="13" t="s">
        <v>308</v>
      </c>
      <c r="E24" s="13" t="s">
        <v>726</v>
      </c>
      <c r="F24" s="119" t="s">
        <v>1004</v>
      </c>
    </row>
    <row r="25" spans="1:6">
      <c r="A25" s="117" t="s">
        <v>307</v>
      </c>
      <c r="B25" s="117" t="s">
        <v>1044</v>
      </c>
      <c r="C25" s="118" t="s">
        <v>1045</v>
      </c>
      <c r="D25" s="13" t="s">
        <v>308</v>
      </c>
      <c r="E25" s="13" t="s">
        <v>726</v>
      </c>
      <c r="F25" s="119" t="s">
        <v>1004</v>
      </c>
    </row>
    <row r="26" spans="1:6">
      <c r="A26" s="117" t="s">
        <v>307</v>
      </c>
      <c r="B26" s="117" t="s">
        <v>1046</v>
      </c>
      <c r="C26" s="118" t="s">
        <v>1047</v>
      </c>
      <c r="D26" s="13" t="s">
        <v>308</v>
      </c>
      <c r="E26" s="13" t="s">
        <v>726</v>
      </c>
      <c r="F26" s="119" t="s">
        <v>1004</v>
      </c>
    </row>
    <row r="27" spans="1:6">
      <c r="A27" s="117" t="s">
        <v>307</v>
      </c>
      <c r="B27" s="117" t="s">
        <v>1048</v>
      </c>
      <c r="C27" s="118" t="s">
        <v>1049</v>
      </c>
      <c r="D27" s="13" t="s">
        <v>308</v>
      </c>
      <c r="E27" s="13" t="s">
        <v>726</v>
      </c>
      <c r="F27" s="119" t="s">
        <v>1033</v>
      </c>
    </row>
    <row r="28" spans="1:6">
      <c r="A28" s="117" t="s">
        <v>307</v>
      </c>
      <c r="B28" s="117" t="s">
        <v>755</v>
      </c>
      <c r="C28" s="118" t="s">
        <v>756</v>
      </c>
      <c r="D28" s="13" t="s">
        <v>732</v>
      </c>
      <c r="E28" s="13" t="s">
        <v>733</v>
      </c>
      <c r="F28" s="119" t="s">
        <v>1027</v>
      </c>
    </row>
    <row r="29" spans="1:6">
      <c r="A29" s="117" t="s">
        <v>307</v>
      </c>
      <c r="B29" s="117" t="s">
        <v>757</v>
      </c>
      <c r="C29" s="118" t="s">
        <v>758</v>
      </c>
      <c r="D29" s="13" t="s">
        <v>732</v>
      </c>
      <c r="E29" s="13" t="s">
        <v>733</v>
      </c>
      <c r="F29" s="119" t="s">
        <v>1036</v>
      </c>
    </row>
    <row r="30" spans="1:6">
      <c r="A30" s="117" t="s">
        <v>307</v>
      </c>
      <c r="B30" s="117" t="s">
        <v>759</v>
      </c>
      <c r="C30" s="118" t="s">
        <v>760</v>
      </c>
      <c r="D30" s="13" t="s">
        <v>732</v>
      </c>
      <c r="E30" s="13" t="s">
        <v>733</v>
      </c>
      <c r="F30" s="119" t="s">
        <v>1041</v>
      </c>
    </row>
    <row r="31" spans="1:6">
      <c r="A31" s="117" t="s">
        <v>307</v>
      </c>
      <c r="B31" s="117" t="s">
        <v>761</v>
      </c>
      <c r="C31" s="118" t="s">
        <v>762</v>
      </c>
      <c r="D31" s="13" t="s">
        <v>732</v>
      </c>
      <c r="E31" s="13" t="s">
        <v>733</v>
      </c>
      <c r="F31" s="119" t="s">
        <v>1027</v>
      </c>
    </row>
    <row r="32" spans="1:6">
      <c r="A32" s="117" t="s">
        <v>307</v>
      </c>
      <c r="B32" s="117" t="s">
        <v>763</v>
      </c>
      <c r="C32" s="118" t="s">
        <v>764</v>
      </c>
      <c r="D32" s="13" t="s">
        <v>732</v>
      </c>
      <c r="E32" s="13" t="s">
        <v>726</v>
      </c>
      <c r="F32" s="119" t="s">
        <v>1041</v>
      </c>
    </row>
    <row r="33" spans="1:6">
      <c r="A33" s="117" t="s">
        <v>307</v>
      </c>
      <c r="B33" s="117" t="s">
        <v>765</v>
      </c>
      <c r="C33" s="118" t="s">
        <v>766</v>
      </c>
      <c r="D33" s="13" t="s">
        <v>732</v>
      </c>
      <c r="E33" s="13" t="s">
        <v>726</v>
      </c>
      <c r="F33" s="119" t="s">
        <v>1036</v>
      </c>
    </row>
    <row r="34" spans="1:6">
      <c r="A34" s="120"/>
      <c r="B34" s="120"/>
      <c r="C34" s="121"/>
      <c r="D34" s="49"/>
      <c r="E34" s="49"/>
      <c r="F34" s="49"/>
    </row>
    <row r="35" spans="1:6">
      <c r="A35" s="117"/>
      <c r="B35" s="117"/>
      <c r="C35" s="118"/>
      <c r="D35" s="49"/>
      <c r="E35" s="49"/>
      <c r="F35" s="49"/>
    </row>
    <row r="36" spans="1:6">
      <c r="A36" s="117"/>
      <c r="B36" s="117"/>
      <c r="C36" s="118"/>
      <c r="D36" s="49"/>
      <c r="E36" s="49"/>
      <c r="F36" s="49"/>
    </row>
    <row r="37" spans="1:6">
      <c r="A37" s="117" t="s">
        <v>442</v>
      </c>
      <c r="B37" s="117" t="s">
        <v>1050</v>
      </c>
      <c r="C37" s="118" t="s">
        <v>1051</v>
      </c>
      <c r="D37" s="13" t="s">
        <v>1052</v>
      </c>
      <c r="E37" s="13" t="s">
        <v>733</v>
      </c>
      <c r="F37" s="119" t="s">
        <v>1021</v>
      </c>
    </row>
    <row r="38" spans="1:6">
      <c r="A38" s="117" t="s">
        <v>442</v>
      </c>
      <c r="B38" s="117" t="s">
        <v>768</v>
      </c>
      <c r="C38" s="118" t="s">
        <v>769</v>
      </c>
      <c r="D38" s="13" t="s">
        <v>732</v>
      </c>
      <c r="E38" s="13" t="s">
        <v>733</v>
      </c>
      <c r="F38" s="119" t="s">
        <v>1036</v>
      </c>
    </row>
    <row r="39" spans="1:6">
      <c r="A39" s="117" t="s">
        <v>442</v>
      </c>
      <c r="B39" s="117" t="s">
        <v>1053</v>
      </c>
      <c r="C39" s="118" t="s">
        <v>1054</v>
      </c>
      <c r="D39" s="13" t="s">
        <v>732</v>
      </c>
      <c r="E39" s="13" t="s">
        <v>733</v>
      </c>
      <c r="F39" s="119" t="s">
        <v>1036</v>
      </c>
    </row>
    <row r="40" spans="1:6">
      <c r="A40" s="117" t="s">
        <v>442</v>
      </c>
      <c r="B40" s="117" t="s">
        <v>1055</v>
      </c>
      <c r="C40" s="118" t="s">
        <v>1056</v>
      </c>
      <c r="D40" s="13" t="s">
        <v>732</v>
      </c>
      <c r="E40" s="13" t="s">
        <v>733</v>
      </c>
      <c r="F40" s="119" t="s">
        <v>1004</v>
      </c>
    </row>
    <row r="41" spans="1:6">
      <c r="A41" s="117" t="s">
        <v>442</v>
      </c>
      <c r="B41" s="117" t="s">
        <v>1057</v>
      </c>
      <c r="C41" s="118" t="s">
        <v>1058</v>
      </c>
      <c r="D41" s="13" t="s">
        <v>732</v>
      </c>
      <c r="E41" s="13" t="s">
        <v>733</v>
      </c>
      <c r="F41" s="119" t="s">
        <v>1033</v>
      </c>
    </row>
    <row r="42" spans="1:6">
      <c r="A42" s="117" t="s">
        <v>442</v>
      </c>
      <c r="B42" s="117" t="s">
        <v>1059</v>
      </c>
      <c r="C42" s="118" t="s">
        <v>1060</v>
      </c>
      <c r="D42" s="13" t="s">
        <v>732</v>
      </c>
      <c r="E42" s="13" t="s">
        <v>733</v>
      </c>
      <c r="F42" s="119" t="s">
        <v>1036</v>
      </c>
    </row>
    <row r="43" spans="1:6">
      <c r="A43" s="117" t="s">
        <v>442</v>
      </c>
      <c r="B43" s="117" t="s">
        <v>1061</v>
      </c>
      <c r="C43" s="118" t="s">
        <v>1062</v>
      </c>
      <c r="D43" s="13" t="s">
        <v>732</v>
      </c>
      <c r="E43" s="13" t="s">
        <v>733</v>
      </c>
      <c r="F43" s="119" t="s">
        <v>1033</v>
      </c>
    </row>
    <row r="44" spans="1:6">
      <c r="A44" s="117" t="s">
        <v>442</v>
      </c>
      <c r="B44" s="117" t="s">
        <v>1063</v>
      </c>
      <c r="C44" s="118" t="s">
        <v>1064</v>
      </c>
      <c r="D44" s="13" t="s">
        <v>732</v>
      </c>
      <c r="E44" s="13" t="s">
        <v>733</v>
      </c>
      <c r="F44" s="119" t="s">
        <v>1036</v>
      </c>
    </row>
    <row r="45" spans="1:6">
      <c r="A45" s="117" t="s">
        <v>442</v>
      </c>
      <c r="B45" s="117" t="s">
        <v>1065</v>
      </c>
      <c r="C45" s="118" t="s">
        <v>1066</v>
      </c>
      <c r="D45" s="13" t="s">
        <v>732</v>
      </c>
      <c r="E45" s="13" t="s">
        <v>733</v>
      </c>
      <c r="F45" s="119" t="s">
        <v>1036</v>
      </c>
    </row>
    <row r="46" spans="1:6">
      <c r="A46" s="117" t="s">
        <v>442</v>
      </c>
      <c r="B46" s="117" t="s">
        <v>1067</v>
      </c>
      <c r="C46" s="118" t="s">
        <v>1068</v>
      </c>
      <c r="D46" s="13" t="s">
        <v>732</v>
      </c>
      <c r="E46" s="13" t="s">
        <v>733</v>
      </c>
      <c r="F46" s="119" t="s">
        <v>1036</v>
      </c>
    </row>
    <row r="47" spans="1:6">
      <c r="A47" s="117" t="s">
        <v>442</v>
      </c>
      <c r="B47" s="117" t="s">
        <v>1069</v>
      </c>
      <c r="C47" s="118" t="s">
        <v>1070</v>
      </c>
      <c r="D47" s="13" t="s">
        <v>732</v>
      </c>
      <c r="E47" s="13" t="s">
        <v>733</v>
      </c>
      <c r="F47" s="119" t="s">
        <v>1036</v>
      </c>
    </row>
    <row r="48" spans="1:6">
      <c r="A48" s="117" t="s">
        <v>442</v>
      </c>
      <c r="B48" s="117" t="s">
        <v>1071</v>
      </c>
      <c r="C48" s="118" t="s">
        <v>1072</v>
      </c>
      <c r="D48" s="13" t="s">
        <v>732</v>
      </c>
      <c r="E48" s="13" t="s">
        <v>733</v>
      </c>
      <c r="F48" s="119" t="s">
        <v>1009</v>
      </c>
    </row>
    <row r="49" spans="1:6">
      <c r="A49" s="117" t="s">
        <v>442</v>
      </c>
      <c r="B49" s="117" t="s">
        <v>1073</v>
      </c>
      <c r="C49" s="118" t="s">
        <v>1074</v>
      </c>
      <c r="D49" s="13" t="s">
        <v>732</v>
      </c>
      <c r="E49" s="13" t="s">
        <v>733</v>
      </c>
      <c r="F49" s="119" t="s">
        <v>1018</v>
      </c>
    </row>
    <row r="50" spans="1:6">
      <c r="A50" s="117" t="s">
        <v>442</v>
      </c>
      <c r="B50" s="117" t="s">
        <v>1075</v>
      </c>
      <c r="C50" s="118" t="s">
        <v>1076</v>
      </c>
      <c r="D50" s="13" t="s">
        <v>732</v>
      </c>
      <c r="E50" s="13" t="s">
        <v>733</v>
      </c>
      <c r="F50" s="119" t="s">
        <v>1004</v>
      </c>
    </row>
    <row r="51" spans="1:6">
      <c r="A51" s="117" t="s">
        <v>442</v>
      </c>
      <c r="B51" s="117" t="s">
        <v>1077</v>
      </c>
      <c r="C51" s="118" t="s">
        <v>1078</v>
      </c>
      <c r="D51" s="13" t="s">
        <v>732</v>
      </c>
      <c r="E51" s="13" t="s">
        <v>733</v>
      </c>
      <c r="F51" s="119" t="s">
        <v>1004</v>
      </c>
    </row>
    <row r="52" spans="1:6">
      <c r="A52" s="117" t="s">
        <v>442</v>
      </c>
      <c r="B52" s="117" t="s">
        <v>1079</v>
      </c>
      <c r="C52" s="118" t="s">
        <v>1080</v>
      </c>
      <c r="D52" s="13" t="s">
        <v>732</v>
      </c>
      <c r="E52" s="13" t="s">
        <v>733</v>
      </c>
      <c r="F52" s="119" t="s">
        <v>1021</v>
      </c>
    </row>
    <row r="53" spans="1:6">
      <c r="A53" s="117" t="s">
        <v>442</v>
      </c>
      <c r="B53" s="117" t="s">
        <v>1081</v>
      </c>
      <c r="C53" s="118" t="s">
        <v>1082</v>
      </c>
      <c r="D53" s="13" t="s">
        <v>732</v>
      </c>
      <c r="E53" s="13" t="s">
        <v>733</v>
      </c>
      <c r="F53" s="119" t="s">
        <v>1033</v>
      </c>
    </row>
    <row r="54" spans="1:6">
      <c r="A54" s="117" t="s">
        <v>442</v>
      </c>
      <c r="B54" s="117" t="s">
        <v>1083</v>
      </c>
      <c r="C54" s="118" t="s">
        <v>1084</v>
      </c>
      <c r="D54" s="13" t="s">
        <v>732</v>
      </c>
      <c r="E54" s="13" t="s">
        <v>733</v>
      </c>
      <c r="F54" s="119" t="s">
        <v>1036</v>
      </c>
    </row>
    <row r="55" spans="1:6">
      <c r="A55" s="117" t="s">
        <v>442</v>
      </c>
      <c r="B55" s="117" t="s">
        <v>1085</v>
      </c>
      <c r="C55" s="118" t="s">
        <v>1086</v>
      </c>
      <c r="D55" s="13" t="s">
        <v>732</v>
      </c>
      <c r="E55" s="13" t="s">
        <v>733</v>
      </c>
      <c r="F55" s="119" t="s">
        <v>1036</v>
      </c>
    </row>
    <row r="56" spans="1:6">
      <c r="A56" s="117" t="s">
        <v>442</v>
      </c>
      <c r="B56" s="117" t="s">
        <v>1087</v>
      </c>
      <c r="C56" s="118" t="s">
        <v>1088</v>
      </c>
      <c r="D56" s="13" t="s">
        <v>732</v>
      </c>
      <c r="E56" s="13" t="s">
        <v>733</v>
      </c>
      <c r="F56" s="119" t="s">
        <v>1009</v>
      </c>
    </row>
    <row r="57" spans="1:6">
      <c r="A57" s="117" t="s">
        <v>442</v>
      </c>
      <c r="B57" s="117" t="s">
        <v>1089</v>
      </c>
      <c r="C57" s="118" t="s">
        <v>1090</v>
      </c>
      <c r="D57" s="13" t="s">
        <v>1052</v>
      </c>
      <c r="E57" s="13" t="s">
        <v>733</v>
      </c>
      <c r="F57" s="119" t="s">
        <v>1036</v>
      </c>
    </row>
    <row r="58" spans="1:6">
      <c r="A58" s="117" t="s">
        <v>442</v>
      </c>
      <c r="B58" s="117" t="s">
        <v>1091</v>
      </c>
      <c r="C58" s="118" t="s">
        <v>1092</v>
      </c>
      <c r="D58" s="13" t="s">
        <v>1052</v>
      </c>
      <c r="E58" s="13" t="s">
        <v>733</v>
      </c>
      <c r="F58" s="119" t="s">
        <v>1093</v>
      </c>
    </row>
    <row r="59" spans="1:6">
      <c r="A59" s="117" t="s">
        <v>442</v>
      </c>
      <c r="B59" s="117" t="s">
        <v>1094</v>
      </c>
      <c r="C59" s="118" t="s">
        <v>1095</v>
      </c>
      <c r="D59" s="13" t="s">
        <v>1052</v>
      </c>
      <c r="E59" s="13" t="s">
        <v>733</v>
      </c>
      <c r="F59" s="119" t="s">
        <v>1093</v>
      </c>
    </row>
    <row r="60" spans="1:6">
      <c r="A60" s="117" t="s">
        <v>442</v>
      </c>
      <c r="B60" s="117" t="s">
        <v>1096</v>
      </c>
      <c r="C60" s="118" t="s">
        <v>1097</v>
      </c>
      <c r="D60" s="13" t="s">
        <v>308</v>
      </c>
      <c r="E60" s="13" t="s">
        <v>726</v>
      </c>
      <c r="F60" s="119" t="s">
        <v>1098</v>
      </c>
    </row>
    <row r="61" spans="1:6">
      <c r="A61" s="117" t="s">
        <v>442</v>
      </c>
      <c r="B61" s="117" t="s">
        <v>449</v>
      </c>
      <c r="C61" s="118" t="s">
        <v>1099</v>
      </c>
      <c r="D61" s="13" t="s">
        <v>308</v>
      </c>
      <c r="E61" s="13" t="s">
        <v>733</v>
      </c>
      <c r="F61" s="119" t="s">
        <v>1098</v>
      </c>
    </row>
    <row r="62" spans="1:6">
      <c r="A62" s="117" t="s">
        <v>442</v>
      </c>
      <c r="B62" s="117" t="s">
        <v>1100</v>
      </c>
      <c r="C62" s="118" t="s">
        <v>1101</v>
      </c>
      <c r="D62" s="13" t="s">
        <v>1052</v>
      </c>
      <c r="E62" s="13" t="s">
        <v>733</v>
      </c>
      <c r="F62" s="119" t="s">
        <v>1009</v>
      </c>
    </row>
    <row r="63" spans="1:6">
      <c r="A63" s="117"/>
      <c r="B63" s="117"/>
      <c r="C63" s="118"/>
      <c r="D63" s="49"/>
      <c r="E63" s="49"/>
      <c r="F63" s="49"/>
    </row>
    <row r="64" spans="1:6">
      <c r="A64" s="117"/>
      <c r="B64" s="117"/>
      <c r="C64" s="118"/>
      <c r="D64" s="49"/>
      <c r="E64" s="49"/>
      <c r="F64" s="49"/>
    </row>
    <row r="65" spans="1:6">
      <c r="A65" s="117"/>
      <c r="B65" s="117"/>
      <c r="C65" s="118"/>
      <c r="D65" s="49"/>
      <c r="E65" s="49"/>
      <c r="F65" s="49"/>
    </row>
    <row r="66" spans="1:6">
      <c r="A66" s="117" t="s">
        <v>357</v>
      </c>
      <c r="B66" s="117" t="s">
        <v>1102</v>
      </c>
      <c r="C66" s="118" t="s">
        <v>1103</v>
      </c>
      <c r="D66" s="13" t="s">
        <v>732</v>
      </c>
      <c r="E66" s="13" t="s">
        <v>733</v>
      </c>
      <c r="F66" s="119" t="s">
        <v>1104</v>
      </c>
    </row>
    <row r="67" spans="1:6">
      <c r="A67" s="117" t="s">
        <v>357</v>
      </c>
      <c r="B67" s="117" t="s">
        <v>1105</v>
      </c>
      <c r="C67" s="118" t="s">
        <v>1106</v>
      </c>
      <c r="D67" s="13" t="s">
        <v>732</v>
      </c>
      <c r="E67" s="13" t="s">
        <v>733</v>
      </c>
      <c r="F67" s="119" t="s">
        <v>1107</v>
      </c>
    </row>
    <row r="68" spans="1:6">
      <c r="A68" s="117" t="s">
        <v>357</v>
      </c>
      <c r="B68" s="117" t="s">
        <v>1108</v>
      </c>
      <c r="C68" s="118" t="s">
        <v>1109</v>
      </c>
      <c r="D68" s="13" t="s">
        <v>732</v>
      </c>
      <c r="E68" s="13" t="s">
        <v>733</v>
      </c>
      <c r="F68" s="119" t="s">
        <v>1110</v>
      </c>
    </row>
    <row r="69" spans="1:6">
      <c r="A69" s="117" t="s">
        <v>357</v>
      </c>
      <c r="B69" s="117" t="s">
        <v>1111</v>
      </c>
      <c r="C69" s="118" t="s">
        <v>1112</v>
      </c>
      <c r="D69" s="13" t="s">
        <v>732</v>
      </c>
      <c r="E69" s="13" t="s">
        <v>733</v>
      </c>
      <c r="F69" s="119" t="s">
        <v>1113</v>
      </c>
    </row>
    <row r="70" spans="1:6">
      <c r="A70" s="117" t="s">
        <v>357</v>
      </c>
      <c r="B70" s="117" t="s">
        <v>1114</v>
      </c>
      <c r="C70" s="118" t="s">
        <v>1115</v>
      </c>
      <c r="D70" s="13" t="s">
        <v>732</v>
      </c>
      <c r="E70" s="13" t="s">
        <v>733</v>
      </c>
      <c r="F70" s="119" t="s">
        <v>1110</v>
      </c>
    </row>
    <row r="71" spans="1:6">
      <c r="A71" s="117" t="s">
        <v>357</v>
      </c>
      <c r="B71" s="117" t="s">
        <v>1116</v>
      </c>
      <c r="C71" s="118" t="s">
        <v>1117</v>
      </c>
      <c r="D71" s="13" t="s">
        <v>732</v>
      </c>
      <c r="E71" s="13" t="s">
        <v>733</v>
      </c>
      <c r="F71" s="119" t="s">
        <v>1113</v>
      </c>
    </row>
    <row r="72" spans="1:6">
      <c r="A72" s="117" t="s">
        <v>357</v>
      </c>
      <c r="B72" s="117" t="s">
        <v>1118</v>
      </c>
      <c r="C72" s="118" t="s">
        <v>1119</v>
      </c>
      <c r="D72" s="13" t="s">
        <v>732</v>
      </c>
      <c r="E72" s="13" t="s">
        <v>733</v>
      </c>
      <c r="F72" s="119" t="s">
        <v>1113</v>
      </c>
    </row>
    <row r="73" spans="1:6">
      <c r="A73" s="117" t="s">
        <v>357</v>
      </c>
      <c r="B73" s="117" t="s">
        <v>1120</v>
      </c>
      <c r="C73" s="118" t="s">
        <v>1121</v>
      </c>
      <c r="D73" s="13" t="s">
        <v>732</v>
      </c>
      <c r="E73" s="13" t="s">
        <v>733</v>
      </c>
      <c r="F73" s="119" t="s">
        <v>1004</v>
      </c>
    </row>
    <row r="74" spans="1:6">
      <c r="A74" s="117" t="s">
        <v>357</v>
      </c>
      <c r="B74" s="117" t="s">
        <v>1122</v>
      </c>
      <c r="C74" s="118" t="s">
        <v>1123</v>
      </c>
      <c r="D74" s="13" t="s">
        <v>732</v>
      </c>
      <c r="E74" s="13" t="s">
        <v>726</v>
      </c>
      <c r="F74" s="119" t="s">
        <v>1004</v>
      </c>
    </row>
    <row r="75" spans="1:6">
      <c r="A75" s="117" t="s">
        <v>357</v>
      </c>
      <c r="B75" s="117" t="s">
        <v>1124</v>
      </c>
      <c r="C75" s="118" t="s">
        <v>1125</v>
      </c>
      <c r="D75" s="13" t="s">
        <v>732</v>
      </c>
      <c r="E75" s="13" t="s">
        <v>726</v>
      </c>
      <c r="F75" s="119" t="s">
        <v>1021</v>
      </c>
    </row>
    <row r="76" spans="1:6">
      <c r="A76" s="117" t="s">
        <v>357</v>
      </c>
      <c r="B76" s="117" t="s">
        <v>1126</v>
      </c>
      <c r="C76" s="118" t="s">
        <v>1127</v>
      </c>
      <c r="D76" s="13" t="s">
        <v>1052</v>
      </c>
      <c r="E76" s="13" t="s">
        <v>726</v>
      </c>
      <c r="F76" s="119" t="s">
        <v>1104</v>
      </c>
    </row>
    <row r="77" spans="1:6">
      <c r="A77" s="117" t="s">
        <v>357</v>
      </c>
      <c r="B77" s="117" t="s">
        <v>1128</v>
      </c>
      <c r="C77" s="118" t="s">
        <v>1129</v>
      </c>
      <c r="D77" s="13" t="s">
        <v>1052</v>
      </c>
      <c r="E77" s="13" t="s">
        <v>726</v>
      </c>
      <c r="F77" s="119" t="s">
        <v>1104</v>
      </c>
    </row>
    <row r="78" spans="1:6">
      <c r="A78" s="117" t="s">
        <v>357</v>
      </c>
      <c r="B78" s="117" t="s">
        <v>1130</v>
      </c>
      <c r="C78" s="118" t="s">
        <v>1131</v>
      </c>
      <c r="D78" s="13" t="s">
        <v>1052</v>
      </c>
      <c r="E78" s="13" t="s">
        <v>726</v>
      </c>
      <c r="F78" s="119" t="s">
        <v>1104</v>
      </c>
    </row>
    <row r="79" spans="1:6">
      <c r="A79" s="117" t="s">
        <v>357</v>
      </c>
      <c r="B79" s="117" t="s">
        <v>1132</v>
      </c>
      <c r="C79" s="118" t="s">
        <v>1133</v>
      </c>
      <c r="D79" s="13" t="s">
        <v>308</v>
      </c>
      <c r="E79" s="13" t="s">
        <v>733</v>
      </c>
      <c r="F79" s="119" t="s">
        <v>1134</v>
      </c>
    </row>
    <row r="80" spans="1:6">
      <c r="A80" s="117" t="s">
        <v>357</v>
      </c>
      <c r="B80" s="117" t="s">
        <v>1135</v>
      </c>
      <c r="C80" s="118" t="s">
        <v>1136</v>
      </c>
      <c r="D80" s="13" t="s">
        <v>308</v>
      </c>
      <c r="E80" s="13" t="s">
        <v>733</v>
      </c>
      <c r="F80" s="119" t="s">
        <v>1021</v>
      </c>
    </row>
    <row r="81" spans="1:6">
      <c r="A81" s="117" t="s">
        <v>357</v>
      </c>
      <c r="B81" s="117" t="s">
        <v>1137</v>
      </c>
      <c r="C81" s="118" t="s">
        <v>1138</v>
      </c>
      <c r="D81" s="13" t="s">
        <v>308</v>
      </c>
      <c r="E81" s="13" t="s">
        <v>733</v>
      </c>
      <c r="F81" s="119" t="s">
        <v>1134</v>
      </c>
    </row>
    <row r="82" spans="1:6">
      <c r="A82" s="117" t="s">
        <v>357</v>
      </c>
      <c r="B82" s="117" t="s">
        <v>1139</v>
      </c>
      <c r="C82" s="118" t="s">
        <v>1140</v>
      </c>
      <c r="D82" s="13" t="s">
        <v>308</v>
      </c>
      <c r="E82" s="13" t="s">
        <v>733</v>
      </c>
      <c r="F82" s="119" t="s">
        <v>1041</v>
      </c>
    </row>
    <row r="83" spans="1:6">
      <c r="A83" s="117" t="s">
        <v>357</v>
      </c>
      <c r="B83" s="117" t="s">
        <v>1141</v>
      </c>
      <c r="C83" s="118" t="s">
        <v>1142</v>
      </c>
      <c r="D83" s="13" t="s">
        <v>308</v>
      </c>
      <c r="E83" s="13" t="s">
        <v>733</v>
      </c>
      <c r="F83" s="119" t="s">
        <v>1021</v>
      </c>
    </row>
    <row r="84" spans="1:6">
      <c r="A84" s="117" t="s">
        <v>357</v>
      </c>
      <c r="B84" s="117" t="s">
        <v>1143</v>
      </c>
      <c r="C84" s="118" t="s">
        <v>1144</v>
      </c>
      <c r="D84" s="13" t="s">
        <v>308</v>
      </c>
      <c r="E84" s="13" t="s">
        <v>733</v>
      </c>
      <c r="F84" s="119" t="s">
        <v>1021</v>
      </c>
    </row>
    <row r="85" spans="1:6">
      <c r="A85" s="117" t="s">
        <v>357</v>
      </c>
      <c r="B85" s="117" t="s">
        <v>1145</v>
      </c>
      <c r="C85" s="118" t="s">
        <v>1146</v>
      </c>
      <c r="D85" s="13" t="s">
        <v>308</v>
      </c>
      <c r="E85" s="13" t="s">
        <v>726</v>
      </c>
      <c r="F85" s="119" t="s">
        <v>1021</v>
      </c>
    </row>
    <row r="86" spans="1:6">
      <c r="A86" s="117" t="s">
        <v>357</v>
      </c>
      <c r="B86" s="117" t="s">
        <v>1147</v>
      </c>
      <c r="C86" s="118" t="s">
        <v>1148</v>
      </c>
      <c r="D86" s="13" t="s">
        <v>308</v>
      </c>
      <c r="E86" s="13" t="s">
        <v>726</v>
      </c>
      <c r="F86" s="119" t="s">
        <v>1004</v>
      </c>
    </row>
    <row r="87" spans="1:6">
      <c r="A87" s="117" t="s">
        <v>357</v>
      </c>
      <c r="B87" s="117" t="s">
        <v>1149</v>
      </c>
      <c r="C87" s="118" t="s">
        <v>1150</v>
      </c>
      <c r="D87" s="13" t="s">
        <v>308</v>
      </c>
      <c r="E87" s="13" t="s">
        <v>726</v>
      </c>
      <c r="F87" s="119" t="s">
        <v>1004</v>
      </c>
    </row>
    <row r="88" spans="1:6">
      <c r="A88" s="117" t="s">
        <v>357</v>
      </c>
      <c r="B88" s="117" t="s">
        <v>1151</v>
      </c>
      <c r="C88" s="118" t="s">
        <v>1152</v>
      </c>
      <c r="D88" s="13" t="s">
        <v>308</v>
      </c>
      <c r="E88" s="13" t="s">
        <v>726</v>
      </c>
      <c r="F88" s="119" t="s">
        <v>1021</v>
      </c>
    </row>
    <row r="89" spans="1:6">
      <c r="A89" s="117" t="s">
        <v>357</v>
      </c>
      <c r="B89" s="117" t="s">
        <v>1153</v>
      </c>
      <c r="C89" s="118" t="s">
        <v>1154</v>
      </c>
      <c r="D89" s="13" t="s">
        <v>308</v>
      </c>
      <c r="E89" s="13" t="s">
        <v>726</v>
      </c>
      <c r="F89" s="119" t="s">
        <v>1041</v>
      </c>
    </row>
    <row r="90" spans="1:6">
      <c r="A90" s="117" t="s">
        <v>357</v>
      </c>
      <c r="B90" s="117" t="s">
        <v>1155</v>
      </c>
      <c r="C90" s="118" t="s">
        <v>1156</v>
      </c>
      <c r="D90" s="13" t="s">
        <v>308</v>
      </c>
      <c r="E90" s="13" t="s">
        <v>726</v>
      </c>
      <c r="F90" s="119" t="s">
        <v>1004</v>
      </c>
    </row>
    <row r="91" spans="1:6">
      <c r="A91" s="117" t="s">
        <v>357</v>
      </c>
      <c r="B91" s="117" t="s">
        <v>1157</v>
      </c>
      <c r="C91" s="118" t="s">
        <v>1158</v>
      </c>
      <c r="D91" s="13" t="s">
        <v>308</v>
      </c>
      <c r="E91" s="13" t="s">
        <v>726</v>
      </c>
      <c r="F91" s="119" t="s">
        <v>1004</v>
      </c>
    </row>
    <row r="92" spans="1:6">
      <c r="A92" s="117" t="s">
        <v>357</v>
      </c>
      <c r="B92" s="117" t="s">
        <v>1159</v>
      </c>
      <c r="C92" s="118" t="s">
        <v>1160</v>
      </c>
      <c r="D92" s="13" t="s">
        <v>308</v>
      </c>
      <c r="E92" s="13" t="s">
        <v>726</v>
      </c>
      <c r="F92" s="119" t="s">
        <v>1041</v>
      </c>
    </row>
    <row r="93" spans="1:6">
      <c r="A93" s="117" t="s">
        <v>357</v>
      </c>
      <c r="B93" s="117" t="s">
        <v>1161</v>
      </c>
      <c r="C93" s="118" t="s">
        <v>1162</v>
      </c>
      <c r="D93" s="13" t="s">
        <v>308</v>
      </c>
      <c r="E93" s="13" t="s">
        <v>726</v>
      </c>
      <c r="F93" s="119" t="s">
        <v>1004</v>
      </c>
    </row>
    <row r="94" spans="1:6">
      <c r="A94" s="117" t="s">
        <v>357</v>
      </c>
      <c r="B94" s="117" t="s">
        <v>1163</v>
      </c>
      <c r="C94" s="118" t="s">
        <v>1164</v>
      </c>
      <c r="D94" s="13" t="s">
        <v>308</v>
      </c>
      <c r="E94" s="13" t="s">
        <v>726</v>
      </c>
      <c r="F94" s="119" t="s">
        <v>1036</v>
      </c>
    </row>
    <row r="95" spans="1:6">
      <c r="A95" s="117" t="s">
        <v>357</v>
      </c>
      <c r="B95" s="117" t="s">
        <v>1165</v>
      </c>
      <c r="C95" s="118" t="s">
        <v>1166</v>
      </c>
      <c r="D95" s="13" t="s">
        <v>308</v>
      </c>
      <c r="E95" s="13" t="s">
        <v>726</v>
      </c>
      <c r="F95" s="119" t="s">
        <v>1004</v>
      </c>
    </row>
    <row r="96" spans="1:6">
      <c r="A96" s="117" t="s">
        <v>357</v>
      </c>
      <c r="B96" s="117" t="s">
        <v>1167</v>
      </c>
      <c r="C96" s="118" t="s">
        <v>1168</v>
      </c>
      <c r="D96" s="13" t="s">
        <v>732</v>
      </c>
      <c r="E96" s="13" t="s">
        <v>733</v>
      </c>
      <c r="F96" s="119" t="s">
        <v>1134</v>
      </c>
    </row>
    <row r="97" spans="1:6">
      <c r="A97" s="117" t="s">
        <v>357</v>
      </c>
      <c r="B97" s="117" t="s">
        <v>1169</v>
      </c>
      <c r="C97" s="118" t="s">
        <v>1170</v>
      </c>
      <c r="D97" s="13" t="s">
        <v>732</v>
      </c>
      <c r="E97" s="13" t="s">
        <v>733</v>
      </c>
      <c r="F97" s="119" t="s">
        <v>1021</v>
      </c>
    </row>
    <row r="98" spans="1:6">
      <c r="A98" s="117" t="s">
        <v>357</v>
      </c>
      <c r="B98" s="117" t="s">
        <v>1171</v>
      </c>
      <c r="C98" s="118" t="s">
        <v>1172</v>
      </c>
      <c r="D98" s="13" t="s">
        <v>732</v>
      </c>
      <c r="E98" s="13" t="s">
        <v>733</v>
      </c>
      <c r="F98" s="119" t="s">
        <v>1021</v>
      </c>
    </row>
    <row r="99" spans="1:6">
      <c r="A99" s="117" t="s">
        <v>357</v>
      </c>
      <c r="B99" s="117" t="s">
        <v>1173</v>
      </c>
      <c r="C99" s="118" t="s">
        <v>1174</v>
      </c>
      <c r="D99" s="13" t="s">
        <v>732</v>
      </c>
      <c r="E99" s="13" t="s">
        <v>733</v>
      </c>
      <c r="F99" s="119" t="s">
        <v>1041</v>
      </c>
    </row>
    <row r="100" spans="1:6">
      <c r="A100" s="117" t="s">
        <v>357</v>
      </c>
      <c r="B100" s="117" t="s">
        <v>1175</v>
      </c>
      <c r="C100" s="118" t="s">
        <v>1176</v>
      </c>
      <c r="D100" s="13" t="s">
        <v>732</v>
      </c>
      <c r="E100" s="13" t="s">
        <v>733</v>
      </c>
      <c r="F100" s="119" t="s">
        <v>1041</v>
      </c>
    </row>
    <row r="101" spans="1:6">
      <c r="A101" s="117" t="s">
        <v>357</v>
      </c>
      <c r="B101" s="117" t="s">
        <v>1177</v>
      </c>
      <c r="C101" s="118" t="s">
        <v>1178</v>
      </c>
      <c r="D101" s="13" t="s">
        <v>732</v>
      </c>
      <c r="E101" s="13" t="s">
        <v>733</v>
      </c>
      <c r="F101" s="119" t="s">
        <v>1021</v>
      </c>
    </row>
    <row r="102" spans="1:6">
      <c r="A102" s="117" t="s">
        <v>357</v>
      </c>
      <c r="B102" s="117" t="s">
        <v>1179</v>
      </c>
      <c r="C102" s="118" t="s">
        <v>1180</v>
      </c>
      <c r="D102" s="13" t="s">
        <v>732</v>
      </c>
      <c r="E102" s="13" t="s">
        <v>733</v>
      </c>
      <c r="F102" s="119" t="s">
        <v>1021</v>
      </c>
    </row>
    <row r="103" spans="1:6">
      <c r="A103" s="117" t="s">
        <v>357</v>
      </c>
      <c r="B103" s="117" t="s">
        <v>1181</v>
      </c>
      <c r="C103" s="118" t="s">
        <v>1182</v>
      </c>
      <c r="D103" s="13" t="s">
        <v>732</v>
      </c>
      <c r="E103" s="13" t="s">
        <v>733</v>
      </c>
      <c r="F103" s="119" t="s">
        <v>1021</v>
      </c>
    </row>
    <row r="104" spans="1:6">
      <c r="A104" s="117" t="s">
        <v>357</v>
      </c>
      <c r="B104" s="117" t="s">
        <v>1183</v>
      </c>
      <c r="C104" s="118" t="s">
        <v>1184</v>
      </c>
      <c r="D104" s="13" t="s">
        <v>732</v>
      </c>
      <c r="E104" s="13" t="s">
        <v>733</v>
      </c>
      <c r="F104" s="119" t="s">
        <v>1021</v>
      </c>
    </row>
    <row r="105" spans="1:6">
      <c r="A105" s="117" t="s">
        <v>357</v>
      </c>
      <c r="B105" s="117" t="s">
        <v>1185</v>
      </c>
      <c r="C105" s="118" t="s">
        <v>1186</v>
      </c>
      <c r="D105" s="13" t="s">
        <v>732</v>
      </c>
      <c r="E105" s="13" t="s">
        <v>726</v>
      </c>
      <c r="F105" s="119" t="s">
        <v>1021</v>
      </c>
    </row>
    <row r="106" spans="1:6">
      <c r="A106" s="117" t="s">
        <v>357</v>
      </c>
      <c r="B106" s="117" t="s">
        <v>771</v>
      </c>
      <c r="C106" s="118" t="s">
        <v>772</v>
      </c>
      <c r="D106" s="13" t="s">
        <v>732</v>
      </c>
      <c r="E106" s="13" t="s">
        <v>726</v>
      </c>
      <c r="F106" s="119" t="s">
        <v>1104</v>
      </c>
    </row>
    <row r="107" spans="1:6">
      <c r="A107" s="117" t="s">
        <v>357</v>
      </c>
      <c r="B107" s="117" t="s">
        <v>774</v>
      </c>
      <c r="C107" s="118" t="s">
        <v>775</v>
      </c>
      <c r="D107" s="13" t="s">
        <v>732</v>
      </c>
      <c r="E107" s="13" t="s">
        <v>726</v>
      </c>
      <c r="F107" s="119" t="s">
        <v>1134</v>
      </c>
    </row>
    <row r="108" spans="1:6">
      <c r="A108" s="117" t="s">
        <v>357</v>
      </c>
      <c r="B108" s="117" t="s">
        <v>1187</v>
      </c>
      <c r="C108" s="118" t="s">
        <v>1188</v>
      </c>
      <c r="D108" s="13" t="s">
        <v>1052</v>
      </c>
      <c r="E108" s="13" t="s">
        <v>733</v>
      </c>
      <c r="F108" s="119" t="s">
        <v>1104</v>
      </c>
    </row>
    <row r="109" spans="1:6">
      <c r="A109" s="117" t="s">
        <v>357</v>
      </c>
      <c r="B109" s="117" t="s">
        <v>1189</v>
      </c>
      <c r="C109" s="118" t="s">
        <v>1190</v>
      </c>
      <c r="D109" s="13" t="s">
        <v>1052</v>
      </c>
      <c r="E109" s="13" t="s">
        <v>733</v>
      </c>
      <c r="F109" s="119" t="s">
        <v>1021</v>
      </c>
    </row>
    <row r="110" spans="1:6">
      <c r="A110" s="117" t="s">
        <v>357</v>
      </c>
      <c r="B110" s="117" t="s">
        <v>1191</v>
      </c>
      <c r="C110" s="118" t="s">
        <v>1192</v>
      </c>
      <c r="D110" s="13" t="s">
        <v>308</v>
      </c>
      <c r="E110" s="13" t="s">
        <v>726</v>
      </c>
      <c r="F110" s="119" t="s">
        <v>1021</v>
      </c>
    </row>
    <row r="111" spans="1:6">
      <c r="A111" s="117" t="s">
        <v>357</v>
      </c>
      <c r="B111" s="117" t="s">
        <v>1193</v>
      </c>
      <c r="C111" s="118" t="s">
        <v>1194</v>
      </c>
      <c r="D111" s="13" t="s">
        <v>308</v>
      </c>
      <c r="E111" s="13" t="s">
        <v>726</v>
      </c>
      <c r="F111" s="119" t="s">
        <v>1021</v>
      </c>
    </row>
    <row r="112" spans="1:6">
      <c r="A112" s="117" t="s">
        <v>357</v>
      </c>
      <c r="B112" s="117" t="s">
        <v>1195</v>
      </c>
      <c r="C112" s="118" t="s">
        <v>1196</v>
      </c>
      <c r="D112" s="13" t="s">
        <v>308</v>
      </c>
      <c r="E112" s="13" t="s">
        <v>733</v>
      </c>
      <c r="F112" s="119" t="s">
        <v>1021</v>
      </c>
    </row>
    <row r="113" spans="1:6">
      <c r="A113" s="117" t="s">
        <v>357</v>
      </c>
      <c r="B113" s="117" t="s">
        <v>1197</v>
      </c>
      <c r="C113" s="118" t="s">
        <v>1198</v>
      </c>
      <c r="D113" s="13" t="s">
        <v>308</v>
      </c>
      <c r="E113" s="13" t="s">
        <v>733</v>
      </c>
      <c r="F113" s="119" t="s">
        <v>1021</v>
      </c>
    </row>
    <row r="114" spans="1:6">
      <c r="A114" s="117" t="s">
        <v>357</v>
      </c>
      <c r="B114" s="117" t="s">
        <v>1199</v>
      </c>
      <c r="C114" s="118" t="s">
        <v>1200</v>
      </c>
      <c r="D114" s="13" t="s">
        <v>308</v>
      </c>
      <c r="E114" s="13" t="s">
        <v>733</v>
      </c>
      <c r="F114" s="119" t="s">
        <v>1021</v>
      </c>
    </row>
    <row r="115" spans="1:6">
      <c r="A115" s="117" t="s">
        <v>357</v>
      </c>
      <c r="B115" s="117" t="s">
        <v>1201</v>
      </c>
      <c r="C115" s="118" t="s">
        <v>1202</v>
      </c>
      <c r="D115" s="13" t="s">
        <v>308</v>
      </c>
      <c r="E115" s="13" t="s">
        <v>733</v>
      </c>
      <c r="F115" s="119" t="s">
        <v>1021</v>
      </c>
    </row>
    <row r="116" spans="1:6">
      <c r="A116" s="117" t="s">
        <v>357</v>
      </c>
      <c r="B116" s="117" t="s">
        <v>1203</v>
      </c>
      <c r="C116" s="118" t="s">
        <v>1204</v>
      </c>
      <c r="D116" s="13" t="s">
        <v>308</v>
      </c>
      <c r="E116" s="13" t="s">
        <v>733</v>
      </c>
      <c r="F116" s="119" t="s">
        <v>1021</v>
      </c>
    </row>
    <row r="117" spans="1:6">
      <c r="A117" s="117" t="s">
        <v>357</v>
      </c>
      <c r="B117" s="117" t="s">
        <v>1205</v>
      </c>
      <c r="C117" s="118" t="s">
        <v>1206</v>
      </c>
      <c r="D117" s="13" t="s">
        <v>732</v>
      </c>
      <c r="E117" s="13" t="s">
        <v>726</v>
      </c>
      <c r="F117" s="119" t="s">
        <v>1134</v>
      </c>
    </row>
    <row r="118" spans="1:6">
      <c r="A118" s="117" t="s">
        <v>357</v>
      </c>
      <c r="B118" s="117" t="s">
        <v>1207</v>
      </c>
      <c r="C118" s="118" t="s">
        <v>1208</v>
      </c>
      <c r="D118" s="13" t="s">
        <v>732</v>
      </c>
      <c r="E118" s="13" t="s">
        <v>726</v>
      </c>
      <c r="F118" s="119" t="s">
        <v>1004</v>
      </c>
    </row>
    <row r="119" spans="1:6">
      <c r="A119" s="117" t="s">
        <v>357</v>
      </c>
      <c r="B119" s="117" t="s">
        <v>1209</v>
      </c>
      <c r="C119" s="118" t="s">
        <v>1210</v>
      </c>
      <c r="D119" s="13" t="s">
        <v>732</v>
      </c>
      <c r="E119" s="13" t="s">
        <v>726</v>
      </c>
      <c r="F119" s="119" t="s">
        <v>1004</v>
      </c>
    </row>
    <row r="120" spans="1:6">
      <c r="A120" s="117" t="s">
        <v>357</v>
      </c>
      <c r="B120" s="117" t="s">
        <v>1211</v>
      </c>
      <c r="C120" s="118" t="s">
        <v>1212</v>
      </c>
      <c r="D120" s="13" t="s">
        <v>732</v>
      </c>
      <c r="E120" s="13" t="s">
        <v>726</v>
      </c>
      <c r="F120" s="119" t="s">
        <v>1021</v>
      </c>
    </row>
    <row r="121" spans="1:6">
      <c r="A121" s="117" t="s">
        <v>357</v>
      </c>
      <c r="B121" s="117" t="s">
        <v>1213</v>
      </c>
      <c r="C121" s="118" t="s">
        <v>1214</v>
      </c>
      <c r="D121" s="13" t="s">
        <v>732</v>
      </c>
      <c r="E121" s="13" t="s">
        <v>726</v>
      </c>
      <c r="F121" s="119" t="s">
        <v>1021</v>
      </c>
    </row>
    <row r="122" spans="1:6">
      <c r="A122" s="117" t="s">
        <v>357</v>
      </c>
      <c r="B122" s="117" t="s">
        <v>1215</v>
      </c>
      <c r="C122" s="118" t="s">
        <v>1216</v>
      </c>
      <c r="D122" s="13" t="s">
        <v>732</v>
      </c>
      <c r="E122" s="13" t="s">
        <v>726</v>
      </c>
      <c r="F122" s="119" t="s">
        <v>1217</v>
      </c>
    </row>
    <row r="123" spans="1:6">
      <c r="A123" s="117" t="s">
        <v>357</v>
      </c>
      <c r="B123" s="117" t="s">
        <v>1218</v>
      </c>
      <c r="C123" s="118" t="s">
        <v>1219</v>
      </c>
      <c r="D123" s="13" t="s">
        <v>1052</v>
      </c>
      <c r="E123" s="13" t="s">
        <v>726</v>
      </c>
      <c r="F123" s="119" t="s">
        <v>1021</v>
      </c>
    </row>
    <row r="124" spans="1:6">
      <c r="A124" s="117" t="s">
        <v>357</v>
      </c>
      <c r="B124" s="117" t="s">
        <v>1220</v>
      </c>
      <c r="C124" s="118" t="s">
        <v>1221</v>
      </c>
      <c r="D124" s="13" t="s">
        <v>308</v>
      </c>
      <c r="E124" s="13" t="s">
        <v>733</v>
      </c>
      <c r="F124" s="119" t="s">
        <v>1021</v>
      </c>
    </row>
    <row r="125" spans="1:6">
      <c r="A125" s="117" t="s">
        <v>357</v>
      </c>
      <c r="B125" s="117" t="s">
        <v>1222</v>
      </c>
      <c r="C125" s="118" t="s">
        <v>1223</v>
      </c>
      <c r="D125" s="13" t="s">
        <v>308</v>
      </c>
      <c r="E125" s="13" t="s">
        <v>733</v>
      </c>
      <c r="F125" s="119" t="s">
        <v>1021</v>
      </c>
    </row>
    <row r="126" spans="1:6">
      <c r="A126" s="117" t="s">
        <v>357</v>
      </c>
      <c r="B126" s="117" t="s">
        <v>1224</v>
      </c>
      <c r="C126" s="118" t="s">
        <v>1225</v>
      </c>
      <c r="D126" s="13" t="s">
        <v>308</v>
      </c>
      <c r="E126" s="13" t="s">
        <v>733</v>
      </c>
      <c r="F126" s="119" t="s">
        <v>1021</v>
      </c>
    </row>
    <row r="127" spans="1:6">
      <c r="A127" s="117" t="s">
        <v>357</v>
      </c>
      <c r="B127" s="117" t="s">
        <v>1226</v>
      </c>
      <c r="C127" s="118" t="s">
        <v>1227</v>
      </c>
      <c r="D127" s="13" t="s">
        <v>308</v>
      </c>
      <c r="E127" s="13" t="s">
        <v>726</v>
      </c>
      <c r="F127" s="119" t="s">
        <v>1104</v>
      </c>
    </row>
    <row r="128" spans="1:6">
      <c r="A128" s="117" t="s">
        <v>357</v>
      </c>
      <c r="B128" s="117" t="s">
        <v>1228</v>
      </c>
      <c r="C128" s="118" t="s">
        <v>1229</v>
      </c>
      <c r="D128" s="13" t="s">
        <v>732</v>
      </c>
      <c r="E128" s="13" t="s">
        <v>733</v>
      </c>
      <c r="F128" s="119" t="s">
        <v>1134</v>
      </c>
    </row>
    <row r="129" spans="1:6">
      <c r="A129" s="117" t="s">
        <v>357</v>
      </c>
      <c r="B129" s="117" t="s">
        <v>1230</v>
      </c>
      <c r="C129" s="118" t="s">
        <v>1231</v>
      </c>
      <c r="D129" s="13" t="s">
        <v>732</v>
      </c>
      <c r="E129" s="13" t="s">
        <v>733</v>
      </c>
      <c r="F129" s="119" t="s">
        <v>1041</v>
      </c>
    </row>
    <row r="130" spans="1:6">
      <c r="A130" s="117" t="s">
        <v>357</v>
      </c>
      <c r="B130" s="117" t="s">
        <v>1232</v>
      </c>
      <c r="C130" s="118" t="s">
        <v>1233</v>
      </c>
      <c r="D130" s="13" t="s">
        <v>308</v>
      </c>
      <c r="E130" s="13" t="s">
        <v>726</v>
      </c>
      <c r="F130" s="119" t="s">
        <v>1004</v>
      </c>
    </row>
    <row r="131" spans="1:6">
      <c r="A131" s="117" t="s">
        <v>357</v>
      </c>
      <c r="B131" s="117" t="s">
        <v>1234</v>
      </c>
      <c r="C131" s="118" t="s">
        <v>1235</v>
      </c>
      <c r="D131" s="13" t="s">
        <v>1052</v>
      </c>
      <c r="E131" s="13" t="s">
        <v>726</v>
      </c>
      <c r="F131" s="119" t="s">
        <v>1018</v>
      </c>
    </row>
    <row r="132" spans="1:6">
      <c r="A132" s="117" t="s">
        <v>357</v>
      </c>
      <c r="B132" s="117" t="s">
        <v>1236</v>
      </c>
      <c r="C132" s="118" t="s">
        <v>1237</v>
      </c>
      <c r="D132" s="13" t="s">
        <v>1052</v>
      </c>
      <c r="E132" s="13" t="s">
        <v>733</v>
      </c>
      <c r="F132" s="119" t="s">
        <v>1041</v>
      </c>
    </row>
    <row r="133" spans="1:6">
      <c r="A133" s="117" t="s">
        <v>357</v>
      </c>
      <c r="B133" s="117" t="s">
        <v>1238</v>
      </c>
      <c r="C133" s="118" t="s">
        <v>1239</v>
      </c>
      <c r="D133" s="13" t="s">
        <v>308</v>
      </c>
      <c r="E133" s="13" t="s">
        <v>733</v>
      </c>
      <c r="F133" s="119" t="s">
        <v>1021</v>
      </c>
    </row>
    <row r="134" spans="1:6">
      <c r="A134" s="117" t="s">
        <v>357</v>
      </c>
      <c r="B134" s="117" t="s">
        <v>1240</v>
      </c>
      <c r="C134" s="118" t="s">
        <v>1241</v>
      </c>
      <c r="D134" s="13" t="s">
        <v>308</v>
      </c>
      <c r="E134" s="13" t="s">
        <v>726</v>
      </c>
      <c r="F134" s="119" t="s">
        <v>1041</v>
      </c>
    </row>
    <row r="135" spans="1:6">
      <c r="A135" s="117" t="s">
        <v>357</v>
      </c>
      <c r="B135" s="117" t="s">
        <v>1242</v>
      </c>
      <c r="C135" s="118" t="s">
        <v>1243</v>
      </c>
      <c r="D135" s="13" t="s">
        <v>308</v>
      </c>
      <c r="E135" s="13" t="s">
        <v>733</v>
      </c>
      <c r="F135" s="119" t="s">
        <v>1036</v>
      </c>
    </row>
    <row r="136" spans="1:6">
      <c r="A136" s="117" t="s">
        <v>357</v>
      </c>
      <c r="B136" s="117" t="s">
        <v>1244</v>
      </c>
      <c r="C136" s="118" t="s">
        <v>1245</v>
      </c>
      <c r="D136" s="13" t="s">
        <v>308</v>
      </c>
      <c r="E136" s="13" t="s">
        <v>726</v>
      </c>
      <c r="F136" s="119" t="s">
        <v>1021</v>
      </c>
    </row>
    <row r="137" spans="1:6">
      <c r="A137" s="117" t="s">
        <v>357</v>
      </c>
      <c r="B137" s="117" t="s">
        <v>777</v>
      </c>
      <c r="C137" s="118" t="s">
        <v>778</v>
      </c>
      <c r="D137" s="13" t="s">
        <v>732</v>
      </c>
      <c r="E137" s="13" t="s">
        <v>733</v>
      </c>
      <c r="F137" s="119" t="s">
        <v>1041</v>
      </c>
    </row>
    <row r="138" spans="1:6">
      <c r="A138" s="117" t="s">
        <v>357</v>
      </c>
      <c r="B138" s="117" t="s">
        <v>779</v>
      </c>
      <c r="C138" s="118" t="s">
        <v>780</v>
      </c>
      <c r="D138" s="13" t="s">
        <v>732</v>
      </c>
      <c r="E138" s="13" t="s">
        <v>733</v>
      </c>
      <c r="F138" s="119" t="s">
        <v>1021</v>
      </c>
    </row>
    <row r="139" spans="1:6">
      <c r="A139" s="117" t="s">
        <v>357</v>
      </c>
      <c r="B139" s="117" t="s">
        <v>1246</v>
      </c>
      <c r="C139" s="118" t="s">
        <v>1247</v>
      </c>
      <c r="D139" s="13" t="s">
        <v>1052</v>
      </c>
      <c r="E139" s="13" t="s">
        <v>733</v>
      </c>
      <c r="F139" s="119" t="s">
        <v>1004</v>
      </c>
    </row>
    <row r="140" spans="1:6">
      <c r="A140" s="117" t="s">
        <v>357</v>
      </c>
      <c r="B140" s="117" t="s">
        <v>781</v>
      </c>
      <c r="C140" s="118" t="s">
        <v>782</v>
      </c>
      <c r="D140" s="13" t="s">
        <v>732</v>
      </c>
      <c r="E140" s="13" t="s">
        <v>733</v>
      </c>
      <c r="F140" s="119" t="s">
        <v>1041</v>
      </c>
    </row>
    <row r="141" spans="1:6">
      <c r="A141" s="117" t="s">
        <v>357</v>
      </c>
      <c r="B141" s="117" t="s">
        <v>783</v>
      </c>
      <c r="C141" s="118" t="s">
        <v>784</v>
      </c>
      <c r="D141" s="13" t="s">
        <v>732</v>
      </c>
      <c r="E141" s="13" t="s">
        <v>733</v>
      </c>
      <c r="F141" s="119" t="s">
        <v>1027</v>
      </c>
    </row>
    <row r="142" spans="1:6">
      <c r="A142" s="117" t="s">
        <v>357</v>
      </c>
      <c r="B142" s="117" t="s">
        <v>785</v>
      </c>
      <c r="C142" s="118" t="s">
        <v>786</v>
      </c>
      <c r="D142" s="13" t="s">
        <v>732</v>
      </c>
      <c r="E142" s="13" t="s">
        <v>733</v>
      </c>
      <c r="F142" s="119" t="s">
        <v>1009</v>
      </c>
    </row>
    <row r="143" spans="1:6">
      <c r="A143" s="117" t="s">
        <v>357</v>
      </c>
      <c r="B143" s="117" t="s">
        <v>787</v>
      </c>
      <c r="C143" s="118" t="s">
        <v>788</v>
      </c>
      <c r="D143" s="13" t="s">
        <v>732</v>
      </c>
      <c r="E143" s="13" t="s">
        <v>733</v>
      </c>
      <c r="F143" s="119" t="s">
        <v>1041</v>
      </c>
    </row>
    <row r="144" spans="1:6">
      <c r="A144" s="117" t="s">
        <v>357</v>
      </c>
      <c r="B144" s="117" t="s">
        <v>789</v>
      </c>
      <c r="C144" s="118" t="s">
        <v>790</v>
      </c>
      <c r="D144" s="13" t="s">
        <v>732</v>
      </c>
      <c r="E144" s="13" t="s">
        <v>733</v>
      </c>
      <c r="F144" s="119" t="s">
        <v>1018</v>
      </c>
    </row>
    <row r="145" spans="1:6">
      <c r="A145" s="117" t="s">
        <v>357</v>
      </c>
      <c r="B145" s="117" t="s">
        <v>791</v>
      </c>
      <c r="C145" s="118" t="s">
        <v>792</v>
      </c>
      <c r="D145" s="13" t="s">
        <v>732</v>
      </c>
      <c r="E145" s="13" t="s">
        <v>733</v>
      </c>
      <c r="F145" s="119" t="s">
        <v>1018</v>
      </c>
    </row>
    <row r="146" spans="1:6">
      <c r="A146" s="117" t="s">
        <v>357</v>
      </c>
      <c r="B146" s="117" t="s">
        <v>1248</v>
      </c>
      <c r="C146" s="118" t="s">
        <v>1249</v>
      </c>
      <c r="D146" s="13" t="s">
        <v>308</v>
      </c>
      <c r="E146" s="13" t="s">
        <v>726</v>
      </c>
      <c r="F146" s="119" t="s">
        <v>1004</v>
      </c>
    </row>
    <row r="147" spans="1:6">
      <c r="A147" s="117" t="s">
        <v>357</v>
      </c>
      <c r="B147" s="117" t="s">
        <v>1250</v>
      </c>
      <c r="C147" s="118" t="s">
        <v>1251</v>
      </c>
      <c r="D147" s="13" t="s">
        <v>1052</v>
      </c>
      <c r="E147" s="13" t="s">
        <v>726</v>
      </c>
      <c r="F147" s="119" t="s">
        <v>1004</v>
      </c>
    </row>
    <row r="148" spans="1:6">
      <c r="A148" s="117" t="s">
        <v>357</v>
      </c>
      <c r="B148" s="117" t="s">
        <v>1252</v>
      </c>
      <c r="C148" s="118" t="s">
        <v>1253</v>
      </c>
      <c r="D148" s="13" t="s">
        <v>1052</v>
      </c>
      <c r="E148" s="13" t="s">
        <v>726</v>
      </c>
      <c r="F148" s="119" t="s">
        <v>1004</v>
      </c>
    </row>
    <row r="149" spans="1:6">
      <c r="A149" s="117"/>
      <c r="B149" s="117"/>
      <c r="C149" s="118"/>
      <c r="D149" s="49"/>
      <c r="E149" s="49"/>
      <c r="F149" s="49"/>
    </row>
    <row r="150" spans="1:6">
      <c r="A150" s="117"/>
      <c r="B150" s="117"/>
      <c r="C150" s="118"/>
      <c r="D150" s="49"/>
      <c r="E150" s="49"/>
      <c r="F150" s="49"/>
    </row>
    <row r="151" spans="1:6">
      <c r="A151" s="117"/>
      <c r="B151" s="117"/>
      <c r="C151" s="118"/>
      <c r="D151" s="49"/>
      <c r="E151" s="49"/>
      <c r="F151" s="49"/>
    </row>
    <row r="152" spans="1:6">
      <c r="A152" s="117" t="s">
        <v>1254</v>
      </c>
      <c r="B152" s="117" t="s">
        <v>1255</v>
      </c>
      <c r="C152" s="118" t="s">
        <v>1256</v>
      </c>
      <c r="D152" s="13" t="s">
        <v>732</v>
      </c>
      <c r="E152" s="13" t="s">
        <v>733</v>
      </c>
      <c r="F152" s="119" t="s">
        <v>1018</v>
      </c>
    </row>
    <row r="153" spans="1:6">
      <c r="A153" s="117" t="s">
        <v>1254</v>
      </c>
      <c r="B153" s="117" t="s">
        <v>1257</v>
      </c>
      <c r="C153" s="118" t="s">
        <v>1258</v>
      </c>
      <c r="D153" s="13" t="s">
        <v>732</v>
      </c>
      <c r="E153" s="13" t="s">
        <v>733</v>
      </c>
      <c r="F153" s="119" t="s">
        <v>1018</v>
      </c>
    </row>
    <row r="154" spans="1:6">
      <c r="A154" s="117" t="s">
        <v>1254</v>
      </c>
      <c r="B154" s="117" t="s">
        <v>1259</v>
      </c>
      <c r="C154" s="118" t="s">
        <v>890</v>
      </c>
      <c r="D154" s="13" t="s">
        <v>732</v>
      </c>
      <c r="E154" s="13" t="s">
        <v>733</v>
      </c>
      <c r="F154" s="119" t="s">
        <v>1004</v>
      </c>
    </row>
    <row r="155" spans="1:6">
      <c r="A155" s="117" t="s">
        <v>1254</v>
      </c>
      <c r="B155" s="117" t="s">
        <v>1260</v>
      </c>
      <c r="C155" s="118" t="s">
        <v>1261</v>
      </c>
      <c r="D155" s="13" t="s">
        <v>732</v>
      </c>
      <c r="E155" s="13" t="s">
        <v>733</v>
      </c>
      <c r="F155" s="119" t="s">
        <v>1018</v>
      </c>
    </row>
    <row r="156" spans="1:6">
      <c r="A156" s="117" t="s">
        <v>1254</v>
      </c>
      <c r="B156" s="117" t="s">
        <v>1262</v>
      </c>
      <c r="C156" s="118" t="s">
        <v>1263</v>
      </c>
      <c r="D156" s="13" t="s">
        <v>1052</v>
      </c>
      <c r="E156" s="13" t="s">
        <v>733</v>
      </c>
      <c r="F156" s="119" t="s">
        <v>1018</v>
      </c>
    </row>
    <row r="157" spans="1:6">
      <c r="A157" s="117" t="s">
        <v>1254</v>
      </c>
      <c r="B157" s="117" t="s">
        <v>1264</v>
      </c>
      <c r="C157" s="118" t="s">
        <v>1265</v>
      </c>
      <c r="D157" s="13" t="s">
        <v>732</v>
      </c>
      <c r="E157" s="13" t="s">
        <v>733</v>
      </c>
      <c r="F157" s="119" t="s">
        <v>1018</v>
      </c>
    </row>
    <row r="158" spans="1:6">
      <c r="A158" s="117" t="s">
        <v>1254</v>
      </c>
      <c r="B158" s="117" t="s">
        <v>1266</v>
      </c>
      <c r="C158" s="118" t="s">
        <v>1267</v>
      </c>
      <c r="D158" s="13" t="s">
        <v>732</v>
      </c>
      <c r="E158" s="13" t="s">
        <v>733</v>
      </c>
      <c r="F158" s="119" t="s">
        <v>1004</v>
      </c>
    </row>
    <row r="159" spans="1:6">
      <c r="A159" s="117" t="s">
        <v>1254</v>
      </c>
      <c r="B159" s="117" t="s">
        <v>1268</v>
      </c>
      <c r="C159" s="118" t="s">
        <v>1269</v>
      </c>
      <c r="D159" s="13" t="s">
        <v>732</v>
      </c>
      <c r="E159" s="13" t="s">
        <v>733</v>
      </c>
      <c r="F159" s="119" t="s">
        <v>1018</v>
      </c>
    </row>
    <row r="160" spans="1:6">
      <c r="A160" s="117" t="s">
        <v>1254</v>
      </c>
      <c r="B160" s="117" t="s">
        <v>1270</v>
      </c>
      <c r="C160" s="118" t="s">
        <v>1271</v>
      </c>
      <c r="D160" s="13" t="s">
        <v>732</v>
      </c>
      <c r="E160" s="13" t="s">
        <v>733</v>
      </c>
      <c r="F160" s="119" t="s">
        <v>1018</v>
      </c>
    </row>
    <row r="161" spans="1:6">
      <c r="A161" s="117" t="s">
        <v>1254</v>
      </c>
      <c r="B161" s="117" t="s">
        <v>1272</v>
      </c>
      <c r="C161" s="118" t="s">
        <v>1273</v>
      </c>
      <c r="D161" s="13" t="s">
        <v>732</v>
      </c>
      <c r="E161" s="13" t="s">
        <v>733</v>
      </c>
      <c r="F161" s="119" t="s">
        <v>1018</v>
      </c>
    </row>
    <row r="162" spans="1:6">
      <c r="A162" s="117" t="s">
        <v>1254</v>
      </c>
      <c r="B162" s="117" t="s">
        <v>1274</v>
      </c>
      <c r="C162" s="118" t="s">
        <v>1275</v>
      </c>
      <c r="D162" s="13" t="s">
        <v>732</v>
      </c>
      <c r="E162" s="13" t="s">
        <v>733</v>
      </c>
      <c r="F162" s="119" t="s">
        <v>1036</v>
      </c>
    </row>
    <row r="163" spans="1:6">
      <c r="A163" s="117" t="s">
        <v>1254</v>
      </c>
      <c r="B163" s="117" t="s">
        <v>1276</v>
      </c>
      <c r="C163" s="118" t="s">
        <v>1277</v>
      </c>
      <c r="D163" s="13" t="s">
        <v>732</v>
      </c>
      <c r="E163" s="13" t="s">
        <v>733</v>
      </c>
      <c r="F163" s="119" t="s">
        <v>1018</v>
      </c>
    </row>
    <row r="164" spans="1:6">
      <c r="A164" s="117" t="s">
        <v>1254</v>
      </c>
      <c r="B164" s="117" t="s">
        <v>1278</v>
      </c>
      <c r="C164" s="118" t="s">
        <v>1279</v>
      </c>
      <c r="D164" s="13" t="s">
        <v>732</v>
      </c>
      <c r="E164" s="13" t="s">
        <v>733</v>
      </c>
      <c r="F164" s="119" t="s">
        <v>1018</v>
      </c>
    </row>
    <row r="165" spans="1:6">
      <c r="A165" s="117" t="s">
        <v>1254</v>
      </c>
      <c r="B165" s="117" t="s">
        <v>1280</v>
      </c>
      <c r="C165" s="118" t="s">
        <v>1281</v>
      </c>
      <c r="D165" s="13" t="s">
        <v>732</v>
      </c>
      <c r="E165" s="13" t="s">
        <v>733</v>
      </c>
      <c r="F165" s="119" t="s">
        <v>1018</v>
      </c>
    </row>
    <row r="166" spans="1:6">
      <c r="A166" s="117" t="s">
        <v>1254</v>
      </c>
      <c r="B166" s="117" t="s">
        <v>1282</v>
      </c>
      <c r="C166" s="118" t="s">
        <v>1283</v>
      </c>
      <c r="D166" s="13" t="s">
        <v>732</v>
      </c>
      <c r="E166" s="13" t="s">
        <v>733</v>
      </c>
      <c r="F166" s="119" t="s">
        <v>1036</v>
      </c>
    </row>
    <row r="167" spans="1:6">
      <c r="A167" s="117" t="s">
        <v>1254</v>
      </c>
      <c r="B167" s="117" t="s">
        <v>1284</v>
      </c>
      <c r="C167" s="118" t="s">
        <v>1285</v>
      </c>
      <c r="D167" s="13" t="s">
        <v>732</v>
      </c>
      <c r="E167" s="13" t="s">
        <v>726</v>
      </c>
      <c r="F167" s="119" t="s">
        <v>1036</v>
      </c>
    </row>
    <row r="168" spans="1:6">
      <c r="A168" s="117" t="s">
        <v>1254</v>
      </c>
      <c r="B168" s="117" t="s">
        <v>1286</v>
      </c>
      <c r="C168" s="118" t="s">
        <v>1287</v>
      </c>
      <c r="D168" s="13" t="s">
        <v>1052</v>
      </c>
      <c r="E168" s="13" t="s">
        <v>726</v>
      </c>
      <c r="F168" s="119" t="s">
        <v>1018</v>
      </c>
    </row>
    <row r="169" spans="1:6">
      <c r="A169" s="117" t="s">
        <v>1254</v>
      </c>
      <c r="B169" s="117" t="s">
        <v>1288</v>
      </c>
      <c r="C169" s="118" t="s">
        <v>1289</v>
      </c>
      <c r="D169" s="13" t="s">
        <v>1052</v>
      </c>
      <c r="E169" s="13" t="s">
        <v>726</v>
      </c>
      <c r="F169" s="119" t="s">
        <v>1036</v>
      </c>
    </row>
    <row r="170" spans="1:6">
      <c r="A170" s="117" t="s">
        <v>1254</v>
      </c>
      <c r="B170" s="117" t="s">
        <v>1290</v>
      </c>
      <c r="C170" s="118" t="s">
        <v>1291</v>
      </c>
      <c r="D170" s="13" t="s">
        <v>732</v>
      </c>
      <c r="E170" s="13" t="s">
        <v>733</v>
      </c>
      <c r="F170" s="119" t="s">
        <v>1036</v>
      </c>
    </row>
    <row r="171" spans="1:6">
      <c r="A171" s="117" t="s">
        <v>1254</v>
      </c>
      <c r="B171" s="117" t="s">
        <v>1292</v>
      </c>
      <c r="C171" s="118" t="s">
        <v>1293</v>
      </c>
      <c r="D171" s="13" t="s">
        <v>732</v>
      </c>
      <c r="E171" s="13" t="s">
        <v>733</v>
      </c>
      <c r="F171" s="119" t="s">
        <v>1036</v>
      </c>
    </row>
    <row r="172" spans="1:6">
      <c r="A172" s="117" t="s">
        <v>1254</v>
      </c>
      <c r="B172" s="117" t="s">
        <v>1294</v>
      </c>
      <c r="C172" s="118" t="s">
        <v>1295</v>
      </c>
      <c r="D172" s="13" t="s">
        <v>732</v>
      </c>
      <c r="E172" s="13" t="s">
        <v>733</v>
      </c>
      <c r="F172" s="119" t="s">
        <v>1018</v>
      </c>
    </row>
    <row r="173" spans="1:6">
      <c r="A173" s="117"/>
      <c r="B173" s="117"/>
      <c r="C173" s="118"/>
      <c r="D173" s="49"/>
      <c r="E173" s="49"/>
      <c r="F173" s="49"/>
    </row>
    <row r="174" spans="1:6">
      <c r="A174" s="117"/>
      <c r="B174" s="117"/>
      <c r="C174" s="118"/>
      <c r="D174" s="49"/>
      <c r="E174" s="49"/>
      <c r="F174" s="49"/>
    </row>
    <row r="175" spans="1:6">
      <c r="A175" s="117"/>
      <c r="B175" s="117"/>
      <c r="C175" s="118"/>
      <c r="D175" s="49"/>
      <c r="E175" s="49"/>
      <c r="F175" s="49"/>
    </row>
    <row r="176" spans="1:6">
      <c r="A176" s="117" t="s">
        <v>794</v>
      </c>
      <c r="B176" s="117" t="s">
        <v>795</v>
      </c>
      <c r="C176" s="118" t="s">
        <v>796</v>
      </c>
      <c r="D176" s="13" t="s">
        <v>732</v>
      </c>
      <c r="E176" s="49"/>
      <c r="F176" s="119" t="s">
        <v>1041</v>
      </c>
    </row>
    <row r="177" spans="1:6">
      <c r="A177" s="117" t="s">
        <v>794</v>
      </c>
      <c r="B177" s="117" t="s">
        <v>798</v>
      </c>
      <c r="C177" s="118" t="s">
        <v>799</v>
      </c>
      <c r="D177" s="13" t="s">
        <v>732</v>
      </c>
      <c r="E177" s="49"/>
      <c r="F177" s="119" t="s">
        <v>1041</v>
      </c>
    </row>
    <row r="178" spans="1:6">
      <c r="A178" s="117" t="s">
        <v>794</v>
      </c>
      <c r="B178" s="117" t="s">
        <v>800</v>
      </c>
      <c r="C178" s="118" t="s">
        <v>801</v>
      </c>
      <c r="D178" s="13" t="s">
        <v>732</v>
      </c>
      <c r="E178" s="49"/>
      <c r="F178" s="119" t="s">
        <v>1041</v>
      </c>
    </row>
    <row r="179" spans="1:6">
      <c r="A179" s="117" t="s">
        <v>794</v>
      </c>
      <c r="B179" s="117" t="s">
        <v>802</v>
      </c>
      <c r="C179" s="118" t="s">
        <v>803</v>
      </c>
      <c r="D179" s="13" t="s">
        <v>732</v>
      </c>
      <c r="E179" s="49"/>
      <c r="F179" s="119" t="s">
        <v>1041</v>
      </c>
    </row>
    <row r="180" spans="1:6">
      <c r="A180" s="117" t="s">
        <v>794</v>
      </c>
      <c r="B180" s="117" t="s">
        <v>805</v>
      </c>
      <c r="C180" s="118" t="s">
        <v>806</v>
      </c>
      <c r="D180" s="13" t="s">
        <v>732</v>
      </c>
      <c r="E180" s="49"/>
      <c r="F180" s="119" t="s">
        <v>1041</v>
      </c>
    </row>
    <row r="181" spans="1:6">
      <c r="A181" s="117" t="s">
        <v>794</v>
      </c>
      <c r="B181" s="117" t="s">
        <v>808</v>
      </c>
      <c r="C181" s="118" t="s">
        <v>809</v>
      </c>
      <c r="D181" s="13" t="s">
        <v>732</v>
      </c>
      <c r="E181" s="49"/>
      <c r="F181" s="119" t="s">
        <v>1041</v>
      </c>
    </row>
    <row r="182" spans="1:6">
      <c r="A182" s="117" t="s">
        <v>794</v>
      </c>
      <c r="B182" s="117" t="s">
        <v>810</v>
      </c>
      <c r="C182" s="118" t="s">
        <v>811</v>
      </c>
      <c r="D182" s="13" t="s">
        <v>732</v>
      </c>
      <c r="E182" s="49"/>
      <c r="F182" s="49"/>
    </row>
    <row r="183" spans="1:6">
      <c r="A183" s="117" t="s">
        <v>794</v>
      </c>
      <c r="B183" s="117" t="s">
        <v>1296</v>
      </c>
      <c r="C183" s="118" t="s">
        <v>1297</v>
      </c>
      <c r="D183" s="13" t="s">
        <v>1052</v>
      </c>
      <c r="E183" s="49"/>
      <c r="F183" s="119" t="s">
        <v>1021</v>
      </c>
    </row>
    <row r="184" spans="1:6">
      <c r="A184" s="117" t="s">
        <v>794</v>
      </c>
      <c r="B184" s="117" t="s">
        <v>1298</v>
      </c>
      <c r="C184" s="118" t="s">
        <v>1299</v>
      </c>
      <c r="D184" s="13" t="s">
        <v>1052</v>
      </c>
      <c r="E184" s="49"/>
      <c r="F184" s="119" t="s">
        <v>1041</v>
      </c>
    </row>
    <row r="185" spans="1:6">
      <c r="A185" s="117" t="s">
        <v>794</v>
      </c>
      <c r="B185" s="117" t="s">
        <v>1300</v>
      </c>
      <c r="C185" s="118" t="s">
        <v>1301</v>
      </c>
      <c r="D185" s="13" t="s">
        <v>308</v>
      </c>
      <c r="E185" s="49"/>
      <c r="F185" s="119" t="s">
        <v>1021</v>
      </c>
    </row>
    <row r="186" spans="1:6">
      <c r="A186" s="117" t="s">
        <v>794</v>
      </c>
      <c r="B186" s="117" t="s">
        <v>812</v>
      </c>
      <c r="C186" s="118" t="s">
        <v>813</v>
      </c>
      <c r="D186" s="13" t="s">
        <v>732</v>
      </c>
      <c r="E186" s="49"/>
      <c r="F186" s="119" t="s">
        <v>1021</v>
      </c>
    </row>
    <row r="187" spans="1:6">
      <c r="A187" s="117"/>
      <c r="B187" s="117"/>
      <c r="C187" s="118"/>
      <c r="D187" s="49"/>
      <c r="E187" s="49"/>
      <c r="F187" s="49"/>
    </row>
    <row r="188" spans="1:6">
      <c r="A188" s="117"/>
      <c r="B188" s="117"/>
      <c r="C188" s="118"/>
      <c r="D188" s="49"/>
      <c r="E188" s="49"/>
      <c r="F188" s="49"/>
    </row>
    <row r="189" spans="1:6">
      <c r="A189" s="117"/>
      <c r="B189" s="117"/>
      <c r="C189" s="118"/>
      <c r="D189" s="49"/>
      <c r="E189" s="49"/>
      <c r="F189" s="49"/>
    </row>
    <row r="190" spans="1:6">
      <c r="A190" s="117" t="s">
        <v>338</v>
      </c>
      <c r="B190" s="117" t="s">
        <v>814</v>
      </c>
      <c r="C190" s="118" t="s">
        <v>815</v>
      </c>
      <c r="D190" s="13" t="s">
        <v>732</v>
      </c>
      <c r="E190" s="13" t="s">
        <v>733</v>
      </c>
      <c r="F190" s="119" t="s">
        <v>1021</v>
      </c>
    </row>
    <row r="191" spans="1:6">
      <c r="A191" s="117" t="s">
        <v>338</v>
      </c>
      <c r="B191" s="117" t="s">
        <v>816</v>
      </c>
      <c r="C191" s="118" t="s">
        <v>817</v>
      </c>
      <c r="D191" s="13" t="s">
        <v>732</v>
      </c>
      <c r="E191" s="13" t="s">
        <v>733</v>
      </c>
      <c r="F191" s="119" t="s">
        <v>1036</v>
      </c>
    </row>
    <row r="192" spans="1:6">
      <c r="A192" s="117" t="s">
        <v>338</v>
      </c>
      <c r="B192" s="117" t="s">
        <v>818</v>
      </c>
      <c r="C192" s="118" t="s">
        <v>819</v>
      </c>
      <c r="D192" s="13" t="s">
        <v>732</v>
      </c>
      <c r="E192" s="13" t="s">
        <v>733</v>
      </c>
      <c r="F192" s="119" t="s">
        <v>1036</v>
      </c>
    </row>
    <row r="193" spans="1:6">
      <c r="A193" s="117" t="s">
        <v>338</v>
      </c>
      <c r="B193" s="117" t="s">
        <v>820</v>
      </c>
      <c r="C193" s="118" t="s">
        <v>821</v>
      </c>
      <c r="D193" s="13" t="s">
        <v>732</v>
      </c>
      <c r="E193" s="13" t="s">
        <v>733</v>
      </c>
      <c r="F193" s="119" t="s">
        <v>1036</v>
      </c>
    </row>
    <row r="194" spans="1:6">
      <c r="A194" s="117" t="s">
        <v>338</v>
      </c>
      <c r="B194" s="117" t="s">
        <v>823</v>
      </c>
      <c r="C194" s="118" t="s">
        <v>824</v>
      </c>
      <c r="D194" s="13" t="s">
        <v>732</v>
      </c>
      <c r="E194" s="13" t="s">
        <v>733</v>
      </c>
      <c r="F194" s="119" t="s">
        <v>1036</v>
      </c>
    </row>
    <row r="195" spans="1:6">
      <c r="A195" s="117" t="s">
        <v>338</v>
      </c>
      <c r="B195" s="117" t="s">
        <v>826</v>
      </c>
      <c r="C195" s="118" t="s">
        <v>827</v>
      </c>
      <c r="D195" s="13" t="s">
        <v>732</v>
      </c>
      <c r="E195" s="13" t="s">
        <v>733</v>
      </c>
      <c r="F195" s="119" t="s">
        <v>1036</v>
      </c>
    </row>
    <row r="196" spans="1:6">
      <c r="A196" s="117" t="s">
        <v>338</v>
      </c>
      <c r="B196" s="117" t="s">
        <v>828</v>
      </c>
      <c r="C196" s="118" t="s">
        <v>829</v>
      </c>
      <c r="D196" s="13" t="s">
        <v>732</v>
      </c>
      <c r="E196" s="13" t="s">
        <v>733</v>
      </c>
      <c r="F196" s="119" t="s">
        <v>1004</v>
      </c>
    </row>
    <row r="197" spans="1:6">
      <c r="A197" s="117" t="s">
        <v>338</v>
      </c>
      <c r="B197" s="117" t="s">
        <v>830</v>
      </c>
      <c r="C197" s="118" t="s">
        <v>831</v>
      </c>
      <c r="D197" s="13" t="s">
        <v>732</v>
      </c>
      <c r="E197" s="13" t="s">
        <v>733</v>
      </c>
      <c r="F197" s="119" t="s">
        <v>1004</v>
      </c>
    </row>
    <row r="198" spans="1:6">
      <c r="A198" s="117" t="s">
        <v>338</v>
      </c>
      <c r="B198" s="117" t="s">
        <v>832</v>
      </c>
      <c r="C198" s="118" t="s">
        <v>833</v>
      </c>
      <c r="D198" s="13" t="s">
        <v>732</v>
      </c>
      <c r="E198" s="13" t="s">
        <v>733</v>
      </c>
      <c r="F198" s="119" t="s">
        <v>1004</v>
      </c>
    </row>
    <row r="199" spans="1:6">
      <c r="A199" s="117" t="s">
        <v>338</v>
      </c>
      <c r="B199" s="117" t="s">
        <v>1302</v>
      </c>
      <c r="C199" s="118" t="s">
        <v>1303</v>
      </c>
      <c r="D199" s="13" t="s">
        <v>1052</v>
      </c>
      <c r="E199" s="13" t="s">
        <v>726</v>
      </c>
      <c r="F199" s="119" t="s">
        <v>1021</v>
      </c>
    </row>
    <row r="200" spans="1:6">
      <c r="A200" s="117" t="s">
        <v>338</v>
      </c>
      <c r="B200" s="117" t="s">
        <v>834</v>
      </c>
      <c r="C200" s="118" t="s">
        <v>835</v>
      </c>
      <c r="D200" s="13" t="s">
        <v>732</v>
      </c>
      <c r="E200" s="13" t="s">
        <v>726</v>
      </c>
      <c r="F200" s="119" t="s">
        <v>1021</v>
      </c>
    </row>
    <row r="201" spans="1:6">
      <c r="A201" s="117" t="s">
        <v>338</v>
      </c>
      <c r="B201" s="117" t="s">
        <v>1304</v>
      </c>
      <c r="C201" s="118" t="s">
        <v>1305</v>
      </c>
      <c r="D201" s="13" t="s">
        <v>1052</v>
      </c>
      <c r="E201" s="13" t="s">
        <v>726</v>
      </c>
      <c r="F201" s="119" t="s">
        <v>1004</v>
      </c>
    </row>
    <row r="202" spans="1:6">
      <c r="A202" s="117" t="s">
        <v>338</v>
      </c>
      <c r="B202" s="117" t="s">
        <v>1306</v>
      </c>
      <c r="C202" s="118" t="s">
        <v>1307</v>
      </c>
      <c r="D202" s="13" t="s">
        <v>308</v>
      </c>
      <c r="E202" s="13" t="s">
        <v>726</v>
      </c>
      <c r="F202" s="119" t="s">
        <v>1021</v>
      </c>
    </row>
    <row r="203" spans="1:6">
      <c r="A203" s="117" t="s">
        <v>338</v>
      </c>
      <c r="B203" s="117" t="s">
        <v>1308</v>
      </c>
      <c r="C203" s="118" t="s">
        <v>1309</v>
      </c>
      <c r="D203" s="13" t="s">
        <v>1052</v>
      </c>
      <c r="E203" s="13" t="s">
        <v>726</v>
      </c>
      <c r="F203" s="119" t="s">
        <v>1021</v>
      </c>
    </row>
    <row r="204" spans="1:6">
      <c r="A204" s="117" t="s">
        <v>338</v>
      </c>
      <c r="B204" s="117" t="s">
        <v>836</v>
      </c>
      <c r="C204" s="118" t="s">
        <v>837</v>
      </c>
      <c r="D204" s="13" t="s">
        <v>732</v>
      </c>
      <c r="E204" s="13" t="s">
        <v>726</v>
      </c>
      <c r="F204" s="119" t="s">
        <v>1021</v>
      </c>
    </row>
    <row r="205" spans="1:6">
      <c r="A205" s="117"/>
      <c r="B205" s="117"/>
      <c r="C205" s="118"/>
      <c r="D205" s="49"/>
      <c r="E205" s="49"/>
      <c r="F205" s="49"/>
    </row>
    <row r="206" spans="1:6">
      <c r="A206" s="117"/>
      <c r="B206" s="117"/>
      <c r="C206" s="118"/>
      <c r="D206" s="49"/>
      <c r="E206" s="49"/>
      <c r="F206" s="49"/>
    </row>
    <row r="207" spans="1:6">
      <c r="A207" s="117"/>
      <c r="B207" s="117"/>
      <c r="C207" s="118"/>
      <c r="D207" s="49"/>
      <c r="E207" s="49"/>
      <c r="F207" s="49"/>
    </row>
    <row r="208" spans="1:6">
      <c r="A208" s="117" t="s">
        <v>149</v>
      </c>
      <c r="B208" s="117" t="s">
        <v>1310</v>
      </c>
      <c r="C208" s="118" t="s">
        <v>1311</v>
      </c>
      <c r="D208" s="13" t="s">
        <v>732</v>
      </c>
      <c r="E208" s="49"/>
      <c r="F208" s="49"/>
    </row>
    <row r="209" spans="1:6">
      <c r="A209" s="117" t="s">
        <v>149</v>
      </c>
      <c r="B209" s="117" t="s">
        <v>1312</v>
      </c>
      <c r="C209" s="118" t="s">
        <v>1313</v>
      </c>
      <c r="D209" s="13" t="s">
        <v>732</v>
      </c>
      <c r="E209" s="13" t="s">
        <v>726</v>
      </c>
      <c r="F209" s="49"/>
    </row>
    <row r="210" spans="1:6">
      <c r="A210" s="117" t="s">
        <v>149</v>
      </c>
      <c r="B210" s="117" t="s">
        <v>1314</v>
      </c>
      <c r="C210" s="118" t="s">
        <v>1315</v>
      </c>
      <c r="D210" s="13" t="s">
        <v>732</v>
      </c>
      <c r="E210" s="49"/>
      <c r="F210" s="49"/>
    </row>
    <row r="211" spans="1:6">
      <c r="A211" s="117" t="s">
        <v>149</v>
      </c>
      <c r="B211" s="117" t="s">
        <v>1316</v>
      </c>
      <c r="C211" s="118" t="s">
        <v>1317</v>
      </c>
      <c r="D211" s="13" t="s">
        <v>732</v>
      </c>
      <c r="E211" s="49"/>
      <c r="F211" s="49"/>
    </row>
    <row r="212" spans="1:6">
      <c r="A212" s="117" t="s">
        <v>149</v>
      </c>
      <c r="B212" s="117" t="s">
        <v>1318</v>
      </c>
      <c r="C212" s="118" t="s">
        <v>1319</v>
      </c>
      <c r="D212" s="13" t="s">
        <v>732</v>
      </c>
      <c r="E212" s="49"/>
      <c r="F212" s="49"/>
    </row>
    <row r="213" spans="1:6">
      <c r="A213" s="117" t="s">
        <v>149</v>
      </c>
      <c r="B213" s="117" t="s">
        <v>1320</v>
      </c>
      <c r="C213" s="118" t="s">
        <v>1321</v>
      </c>
      <c r="D213" s="13" t="s">
        <v>732</v>
      </c>
      <c r="E213" s="49"/>
      <c r="F213" s="49"/>
    </row>
    <row r="214" spans="1:6">
      <c r="A214" s="117" t="s">
        <v>149</v>
      </c>
      <c r="B214" s="117" t="s">
        <v>1322</v>
      </c>
      <c r="C214" s="118" t="s">
        <v>1323</v>
      </c>
      <c r="D214" s="13" t="s">
        <v>1052</v>
      </c>
      <c r="E214" s="49"/>
      <c r="F214" s="49"/>
    </row>
    <row r="215" spans="1:6">
      <c r="A215" s="117" t="s">
        <v>149</v>
      </c>
      <c r="B215" s="117" t="s">
        <v>1324</v>
      </c>
      <c r="C215" s="118" t="s">
        <v>1325</v>
      </c>
      <c r="D215" s="13" t="s">
        <v>308</v>
      </c>
      <c r="E215" s="49"/>
      <c r="F215" s="49"/>
    </row>
    <row r="216" spans="1:6">
      <c r="A216" s="117" t="s">
        <v>149</v>
      </c>
      <c r="B216" s="117" t="s">
        <v>1326</v>
      </c>
      <c r="C216" s="118" t="s">
        <v>1327</v>
      </c>
      <c r="D216" s="13" t="s">
        <v>308</v>
      </c>
      <c r="E216" s="49"/>
      <c r="F216" s="49"/>
    </row>
    <row r="217" spans="1:6">
      <c r="A217" s="117" t="s">
        <v>149</v>
      </c>
      <c r="B217" s="117" t="s">
        <v>398</v>
      </c>
      <c r="C217" s="118" t="s">
        <v>1328</v>
      </c>
      <c r="D217" s="13" t="s">
        <v>308</v>
      </c>
      <c r="E217" s="49"/>
      <c r="F217" s="49"/>
    </row>
    <row r="218" spans="1:6">
      <c r="A218" s="117" t="s">
        <v>149</v>
      </c>
      <c r="B218" s="117" t="s">
        <v>1329</v>
      </c>
      <c r="C218" s="118" t="s">
        <v>1330</v>
      </c>
      <c r="D218" s="13" t="s">
        <v>732</v>
      </c>
      <c r="E218" s="49"/>
      <c r="F218" s="49"/>
    </row>
    <row r="219" spans="1:6">
      <c r="A219" s="117" t="s">
        <v>149</v>
      </c>
      <c r="B219" s="117" t="s">
        <v>1331</v>
      </c>
      <c r="C219" s="118" t="s">
        <v>1332</v>
      </c>
      <c r="D219" s="13" t="s">
        <v>732</v>
      </c>
      <c r="E219" s="13" t="s">
        <v>726</v>
      </c>
      <c r="F219" s="49"/>
    </row>
    <row r="220" spans="1:6">
      <c r="A220" s="117"/>
      <c r="B220" s="117"/>
      <c r="C220" s="118"/>
      <c r="D220" s="49"/>
      <c r="E220" s="49"/>
      <c r="F220" s="49"/>
    </row>
    <row r="221" spans="1:6">
      <c r="A221" s="117"/>
      <c r="B221" s="117"/>
      <c r="C221" s="118"/>
      <c r="D221" s="49"/>
      <c r="E221" s="49"/>
      <c r="F221" s="49"/>
    </row>
    <row r="222" spans="1:6">
      <c r="A222" s="117"/>
      <c r="B222" s="117"/>
      <c r="C222" s="118"/>
      <c r="D222" s="49"/>
      <c r="E222" s="49"/>
      <c r="F222" s="49"/>
    </row>
    <row r="223" spans="1:6">
      <c r="A223" s="117" t="s">
        <v>168</v>
      </c>
      <c r="B223" s="117" t="s">
        <v>1333</v>
      </c>
      <c r="C223" s="118" t="s">
        <v>1334</v>
      </c>
      <c r="D223" s="13" t="s">
        <v>732</v>
      </c>
      <c r="E223" s="13" t="s">
        <v>733</v>
      </c>
      <c r="F223" s="119" t="s">
        <v>1041</v>
      </c>
    </row>
    <row r="224" spans="1:6">
      <c r="A224" s="117" t="s">
        <v>168</v>
      </c>
      <c r="B224" s="117" t="s">
        <v>1335</v>
      </c>
      <c r="C224" s="118" t="s">
        <v>1336</v>
      </c>
      <c r="D224" s="13" t="s">
        <v>1052</v>
      </c>
      <c r="E224" s="13" t="s">
        <v>726</v>
      </c>
      <c r="F224" s="119" t="s">
        <v>1004</v>
      </c>
    </row>
    <row r="225" spans="1:6">
      <c r="A225" s="117" t="s">
        <v>168</v>
      </c>
      <c r="B225" s="117" t="s">
        <v>1337</v>
      </c>
      <c r="C225" s="118" t="s">
        <v>1338</v>
      </c>
      <c r="D225" s="13" t="s">
        <v>732</v>
      </c>
      <c r="E225" s="13" t="s">
        <v>733</v>
      </c>
      <c r="F225" s="119" t="s">
        <v>1036</v>
      </c>
    </row>
    <row r="226" spans="1:6">
      <c r="A226" s="117" t="s">
        <v>168</v>
      </c>
      <c r="B226" s="117" t="s">
        <v>1339</v>
      </c>
      <c r="C226" s="118" t="s">
        <v>1340</v>
      </c>
      <c r="D226" s="13" t="s">
        <v>1052</v>
      </c>
      <c r="E226" s="13" t="s">
        <v>726</v>
      </c>
      <c r="F226" s="119" t="s">
        <v>1004</v>
      </c>
    </row>
    <row r="227" spans="1:6">
      <c r="A227" s="117" t="s">
        <v>168</v>
      </c>
      <c r="B227" s="117" t="s">
        <v>1341</v>
      </c>
      <c r="C227" s="118" t="s">
        <v>1342</v>
      </c>
      <c r="D227" s="13" t="s">
        <v>732</v>
      </c>
      <c r="E227" s="13" t="s">
        <v>843</v>
      </c>
      <c r="F227" s="119" t="s">
        <v>1004</v>
      </c>
    </row>
    <row r="228" spans="1:6">
      <c r="A228" s="117" t="s">
        <v>168</v>
      </c>
      <c r="B228" s="117" t="s">
        <v>1343</v>
      </c>
      <c r="C228" s="118" t="s">
        <v>1344</v>
      </c>
      <c r="D228" s="13" t="s">
        <v>732</v>
      </c>
      <c r="E228" s="13" t="s">
        <v>733</v>
      </c>
      <c r="F228" s="119" t="s">
        <v>1036</v>
      </c>
    </row>
    <row r="229" spans="1:6">
      <c r="A229" s="117" t="s">
        <v>168</v>
      </c>
      <c r="B229" s="117" t="s">
        <v>1345</v>
      </c>
      <c r="C229" s="118" t="s">
        <v>1346</v>
      </c>
      <c r="D229" s="13" t="s">
        <v>732</v>
      </c>
      <c r="E229" s="13" t="s">
        <v>733</v>
      </c>
      <c r="F229" s="119" t="s">
        <v>1004</v>
      </c>
    </row>
    <row r="230" spans="1:6">
      <c r="A230" s="117" t="s">
        <v>168</v>
      </c>
      <c r="B230" s="117" t="s">
        <v>1347</v>
      </c>
      <c r="C230" s="118" t="s">
        <v>1348</v>
      </c>
      <c r="D230" s="13" t="s">
        <v>1052</v>
      </c>
      <c r="E230" s="13" t="s">
        <v>733</v>
      </c>
      <c r="F230" s="119" t="s">
        <v>1018</v>
      </c>
    </row>
    <row r="231" spans="1:6">
      <c r="A231" s="117" t="s">
        <v>168</v>
      </c>
      <c r="B231" s="117" t="s">
        <v>1349</v>
      </c>
      <c r="C231" s="118" t="s">
        <v>1350</v>
      </c>
      <c r="D231" s="13" t="s">
        <v>732</v>
      </c>
      <c r="E231" s="13" t="s">
        <v>726</v>
      </c>
      <c r="F231" s="119" t="s">
        <v>1018</v>
      </c>
    </row>
    <row r="232" spans="1:6">
      <c r="A232" s="117" t="s">
        <v>168</v>
      </c>
      <c r="B232" s="117" t="s">
        <v>1351</v>
      </c>
      <c r="C232" s="118" t="s">
        <v>1352</v>
      </c>
      <c r="D232" s="13" t="s">
        <v>1052</v>
      </c>
      <c r="E232" s="13" t="s">
        <v>843</v>
      </c>
      <c r="F232" s="119" t="s">
        <v>1036</v>
      </c>
    </row>
    <row r="233" spans="1:6">
      <c r="A233" s="117" t="s">
        <v>168</v>
      </c>
      <c r="B233" s="117" t="s">
        <v>1353</v>
      </c>
      <c r="C233" s="118" t="s">
        <v>1354</v>
      </c>
      <c r="D233" s="13" t="s">
        <v>308</v>
      </c>
      <c r="E233" s="13" t="s">
        <v>726</v>
      </c>
      <c r="F233" s="119" t="s">
        <v>1021</v>
      </c>
    </row>
    <row r="234" spans="1:6">
      <c r="A234" s="117" t="s">
        <v>168</v>
      </c>
      <c r="B234" s="117" t="s">
        <v>1355</v>
      </c>
      <c r="C234" s="118" t="s">
        <v>1356</v>
      </c>
      <c r="D234" s="13" t="s">
        <v>1052</v>
      </c>
      <c r="E234" s="13" t="s">
        <v>726</v>
      </c>
      <c r="F234" s="119" t="s">
        <v>1004</v>
      </c>
    </row>
    <row r="235" spans="1:6">
      <c r="A235" s="117" t="s">
        <v>168</v>
      </c>
      <c r="B235" s="117" t="s">
        <v>1357</v>
      </c>
      <c r="C235" s="118" t="s">
        <v>1358</v>
      </c>
      <c r="D235" s="13" t="s">
        <v>732</v>
      </c>
      <c r="E235" s="13" t="s">
        <v>843</v>
      </c>
      <c r="F235" s="119" t="s">
        <v>1041</v>
      </c>
    </row>
    <row r="236" spans="1:6">
      <c r="A236" s="117" t="s">
        <v>168</v>
      </c>
      <c r="B236" s="117" t="s">
        <v>838</v>
      </c>
      <c r="C236" s="118" t="s">
        <v>839</v>
      </c>
      <c r="D236" s="13" t="s">
        <v>732</v>
      </c>
      <c r="E236" s="13" t="s">
        <v>733</v>
      </c>
      <c r="F236" s="119" t="s">
        <v>1004</v>
      </c>
    </row>
    <row r="237" spans="1:6">
      <c r="A237" s="117" t="s">
        <v>168</v>
      </c>
      <c r="B237" s="117" t="s">
        <v>1359</v>
      </c>
      <c r="C237" s="118" t="s">
        <v>1360</v>
      </c>
      <c r="D237" s="13" t="s">
        <v>732</v>
      </c>
      <c r="E237" s="13" t="s">
        <v>733</v>
      </c>
      <c r="F237" s="119" t="s">
        <v>1004</v>
      </c>
    </row>
    <row r="238" spans="1:6">
      <c r="A238" s="117" t="s">
        <v>168</v>
      </c>
      <c r="B238" s="117" t="s">
        <v>1361</v>
      </c>
      <c r="C238" s="118" t="s">
        <v>1362</v>
      </c>
      <c r="D238" s="13" t="s">
        <v>308</v>
      </c>
      <c r="E238" s="13" t="s">
        <v>726</v>
      </c>
      <c r="F238" s="119" t="s">
        <v>1036</v>
      </c>
    </row>
    <row r="239" spans="1:6">
      <c r="A239" s="117" t="s">
        <v>168</v>
      </c>
      <c r="B239" s="117" t="s">
        <v>1363</v>
      </c>
      <c r="C239" s="118" t="s">
        <v>1364</v>
      </c>
      <c r="D239" s="13" t="s">
        <v>1052</v>
      </c>
      <c r="E239" s="13" t="s">
        <v>726</v>
      </c>
      <c r="F239" s="119" t="s">
        <v>1004</v>
      </c>
    </row>
    <row r="240" spans="1:6">
      <c r="A240" s="117" t="s">
        <v>168</v>
      </c>
      <c r="B240" s="117" t="s">
        <v>1365</v>
      </c>
      <c r="C240" s="118" t="s">
        <v>1366</v>
      </c>
      <c r="D240" s="13" t="s">
        <v>732</v>
      </c>
      <c r="E240" s="13" t="s">
        <v>733</v>
      </c>
      <c r="F240" s="119" t="s">
        <v>1009</v>
      </c>
    </row>
    <row r="241" spans="1:6">
      <c r="A241" s="117" t="s">
        <v>168</v>
      </c>
      <c r="B241" s="117" t="s">
        <v>1367</v>
      </c>
      <c r="C241" s="118" t="s">
        <v>1368</v>
      </c>
      <c r="D241" s="13" t="s">
        <v>732</v>
      </c>
      <c r="E241" s="13" t="s">
        <v>733</v>
      </c>
      <c r="F241" s="119" t="s">
        <v>1004</v>
      </c>
    </row>
    <row r="242" spans="1:6">
      <c r="A242" s="117" t="s">
        <v>168</v>
      </c>
      <c r="B242" s="117" t="s">
        <v>1369</v>
      </c>
      <c r="C242" s="118" t="s">
        <v>1370</v>
      </c>
      <c r="D242" s="13" t="s">
        <v>732</v>
      </c>
      <c r="E242" s="13" t="s">
        <v>843</v>
      </c>
      <c r="F242" s="119" t="s">
        <v>1036</v>
      </c>
    </row>
    <row r="243" spans="1:6">
      <c r="A243" s="117" t="s">
        <v>168</v>
      </c>
      <c r="B243" s="117" t="s">
        <v>841</v>
      </c>
      <c r="C243" s="118" t="s">
        <v>842</v>
      </c>
      <c r="D243" s="13" t="s">
        <v>732</v>
      </c>
      <c r="E243" s="13" t="s">
        <v>843</v>
      </c>
      <c r="F243" s="119" t="s">
        <v>1041</v>
      </c>
    </row>
    <row r="244" spans="1:6">
      <c r="A244" s="117" t="s">
        <v>168</v>
      </c>
      <c r="B244" s="117" t="s">
        <v>845</v>
      </c>
      <c r="C244" s="118" t="s">
        <v>846</v>
      </c>
      <c r="D244" s="13" t="s">
        <v>732</v>
      </c>
      <c r="E244" s="13" t="s">
        <v>726</v>
      </c>
      <c r="F244" s="119" t="s">
        <v>1036</v>
      </c>
    </row>
    <row r="245" spans="1:6">
      <c r="A245" s="117" t="s">
        <v>168</v>
      </c>
      <c r="B245" s="117" t="s">
        <v>1371</v>
      </c>
      <c r="C245" s="118" t="s">
        <v>1372</v>
      </c>
      <c r="D245" s="13" t="s">
        <v>308</v>
      </c>
      <c r="E245" s="13" t="s">
        <v>726</v>
      </c>
      <c r="F245" s="119" t="s">
        <v>1036</v>
      </c>
    </row>
    <row r="246" spans="1:6">
      <c r="A246" s="117" t="s">
        <v>168</v>
      </c>
      <c r="B246" s="117" t="s">
        <v>1373</v>
      </c>
      <c r="C246" s="118" t="s">
        <v>1374</v>
      </c>
      <c r="D246" s="13" t="s">
        <v>1052</v>
      </c>
      <c r="E246" s="13" t="s">
        <v>726</v>
      </c>
      <c r="F246" s="119" t="s">
        <v>1004</v>
      </c>
    </row>
    <row r="247" spans="1:6">
      <c r="A247" s="117" t="s">
        <v>168</v>
      </c>
      <c r="B247" s="117" t="s">
        <v>1375</v>
      </c>
      <c r="C247" s="118" t="s">
        <v>1376</v>
      </c>
      <c r="D247" s="13" t="s">
        <v>1052</v>
      </c>
      <c r="E247" s="13" t="s">
        <v>726</v>
      </c>
      <c r="F247" s="119" t="s">
        <v>1004</v>
      </c>
    </row>
    <row r="248" spans="1:6">
      <c r="A248" s="117" t="s">
        <v>168</v>
      </c>
      <c r="B248" s="117" t="s">
        <v>1377</v>
      </c>
      <c r="C248" s="118" t="s">
        <v>1378</v>
      </c>
      <c r="D248" s="13" t="s">
        <v>1052</v>
      </c>
      <c r="E248" s="13" t="s">
        <v>733</v>
      </c>
      <c r="F248" s="119" t="s">
        <v>1004</v>
      </c>
    </row>
    <row r="249" spans="1:6">
      <c r="A249" s="117" t="s">
        <v>168</v>
      </c>
      <c r="B249" s="117" t="s">
        <v>1379</v>
      </c>
      <c r="C249" s="118" t="s">
        <v>1380</v>
      </c>
      <c r="D249" s="13" t="s">
        <v>732</v>
      </c>
      <c r="E249" s="13" t="s">
        <v>733</v>
      </c>
      <c r="F249" s="119" t="s">
        <v>1036</v>
      </c>
    </row>
    <row r="250" spans="1:6">
      <c r="A250" s="117" t="s">
        <v>168</v>
      </c>
      <c r="B250" s="117" t="s">
        <v>1381</v>
      </c>
      <c r="C250" s="118" t="s">
        <v>1382</v>
      </c>
      <c r="D250" s="13" t="s">
        <v>1052</v>
      </c>
      <c r="E250" s="13" t="s">
        <v>726</v>
      </c>
      <c r="F250" s="119" t="s">
        <v>1021</v>
      </c>
    </row>
    <row r="251" spans="1:6">
      <c r="A251" s="117" t="s">
        <v>168</v>
      </c>
      <c r="B251" s="117" t="s">
        <v>1383</v>
      </c>
      <c r="C251" s="118" t="s">
        <v>1384</v>
      </c>
      <c r="D251" s="13" t="s">
        <v>732</v>
      </c>
      <c r="E251" s="13" t="s">
        <v>733</v>
      </c>
      <c r="F251" s="119" t="s">
        <v>1021</v>
      </c>
    </row>
    <row r="252" spans="1:6">
      <c r="A252" s="117" t="s">
        <v>168</v>
      </c>
      <c r="B252" s="117" t="s">
        <v>1385</v>
      </c>
      <c r="C252" s="118" t="s">
        <v>1386</v>
      </c>
      <c r="D252" s="13" t="s">
        <v>308</v>
      </c>
      <c r="E252" s="13" t="s">
        <v>726</v>
      </c>
      <c r="F252" s="119" t="s">
        <v>1036</v>
      </c>
    </row>
    <row r="253" spans="1:6">
      <c r="A253" s="117" t="s">
        <v>168</v>
      </c>
      <c r="B253" s="117" t="s">
        <v>1387</v>
      </c>
      <c r="C253" s="118" t="s">
        <v>1388</v>
      </c>
      <c r="D253" s="13" t="s">
        <v>732</v>
      </c>
      <c r="E253" s="13" t="s">
        <v>733</v>
      </c>
      <c r="F253" s="119" t="s">
        <v>1041</v>
      </c>
    </row>
    <row r="254" spans="1:6">
      <c r="A254" s="117" t="s">
        <v>168</v>
      </c>
      <c r="B254" s="117" t="s">
        <v>1389</v>
      </c>
      <c r="C254" s="118" t="s">
        <v>1390</v>
      </c>
      <c r="D254" s="13" t="s">
        <v>732</v>
      </c>
      <c r="E254" s="13" t="s">
        <v>733</v>
      </c>
      <c r="F254" s="119" t="s">
        <v>1004</v>
      </c>
    </row>
    <row r="255" spans="1:6">
      <c r="A255" s="117" t="s">
        <v>168</v>
      </c>
      <c r="B255" s="117" t="s">
        <v>1391</v>
      </c>
      <c r="C255" s="118" t="s">
        <v>1392</v>
      </c>
      <c r="D255" s="13" t="s">
        <v>308</v>
      </c>
      <c r="E255" s="13" t="s">
        <v>726</v>
      </c>
      <c r="F255" s="119" t="s">
        <v>1004</v>
      </c>
    </row>
    <row r="256" spans="1:6">
      <c r="A256" s="117" t="s">
        <v>168</v>
      </c>
      <c r="B256" s="117" t="s">
        <v>1393</v>
      </c>
      <c r="C256" s="118" t="s">
        <v>1394</v>
      </c>
      <c r="D256" s="13" t="s">
        <v>308</v>
      </c>
      <c r="E256" s="13" t="s">
        <v>726</v>
      </c>
      <c r="F256" s="119" t="s">
        <v>1004</v>
      </c>
    </row>
    <row r="257" spans="1:6">
      <c r="A257" s="117" t="s">
        <v>168</v>
      </c>
      <c r="B257" s="117" t="s">
        <v>1395</v>
      </c>
      <c r="C257" s="118" t="s">
        <v>1396</v>
      </c>
      <c r="D257" s="13" t="s">
        <v>308</v>
      </c>
      <c r="E257" s="13" t="s">
        <v>726</v>
      </c>
      <c r="F257" s="119" t="s">
        <v>1004</v>
      </c>
    </row>
    <row r="258" spans="1:6">
      <c r="A258" s="117" t="s">
        <v>168</v>
      </c>
      <c r="B258" s="117" t="s">
        <v>1397</v>
      </c>
      <c r="C258" s="118" t="s">
        <v>1398</v>
      </c>
      <c r="D258" s="13" t="s">
        <v>308</v>
      </c>
      <c r="E258" s="13" t="s">
        <v>726</v>
      </c>
      <c r="F258" s="119" t="s">
        <v>1004</v>
      </c>
    </row>
    <row r="259" spans="1:6">
      <c r="A259" s="117" t="s">
        <v>168</v>
      </c>
      <c r="B259" s="117" t="s">
        <v>1399</v>
      </c>
      <c r="C259" s="118" t="s">
        <v>1400</v>
      </c>
      <c r="D259" s="13" t="s">
        <v>308</v>
      </c>
      <c r="E259" s="13" t="s">
        <v>726</v>
      </c>
      <c r="F259" s="119" t="s">
        <v>1004</v>
      </c>
    </row>
    <row r="260" spans="1:6">
      <c r="A260" s="117" t="s">
        <v>168</v>
      </c>
      <c r="B260" s="117" t="s">
        <v>1401</v>
      </c>
      <c r="C260" s="118" t="s">
        <v>1402</v>
      </c>
      <c r="D260" s="13" t="s">
        <v>732</v>
      </c>
      <c r="E260" s="13" t="s">
        <v>733</v>
      </c>
      <c r="F260" s="119" t="s">
        <v>1018</v>
      </c>
    </row>
    <row r="261" spans="1:6">
      <c r="A261" s="117" t="s">
        <v>168</v>
      </c>
      <c r="B261" s="117" t="s">
        <v>1403</v>
      </c>
      <c r="C261" s="118" t="s">
        <v>1404</v>
      </c>
      <c r="D261" s="13" t="s">
        <v>732</v>
      </c>
      <c r="E261" s="13" t="s">
        <v>733</v>
      </c>
      <c r="F261" s="119" t="s">
        <v>1004</v>
      </c>
    </row>
    <row r="262" spans="1:6">
      <c r="A262" s="117" t="s">
        <v>168</v>
      </c>
      <c r="B262" s="117" t="s">
        <v>1405</v>
      </c>
      <c r="C262" s="118" t="s">
        <v>1406</v>
      </c>
      <c r="D262" s="13" t="s">
        <v>308</v>
      </c>
      <c r="E262" s="13" t="s">
        <v>726</v>
      </c>
      <c r="F262" s="119" t="s">
        <v>1036</v>
      </c>
    </row>
    <row r="263" spans="1:6">
      <c r="A263" s="117" t="s">
        <v>168</v>
      </c>
      <c r="B263" s="117" t="s">
        <v>1407</v>
      </c>
      <c r="C263" s="118" t="s">
        <v>1408</v>
      </c>
      <c r="D263" s="13" t="s">
        <v>732</v>
      </c>
      <c r="E263" s="13" t="s">
        <v>733</v>
      </c>
      <c r="F263" s="119" t="s">
        <v>1036</v>
      </c>
    </row>
    <row r="264" spans="1:6">
      <c r="A264" s="117" t="s">
        <v>168</v>
      </c>
      <c r="B264" s="117" t="s">
        <v>1409</v>
      </c>
      <c r="C264" s="118" t="s">
        <v>1410</v>
      </c>
      <c r="D264" s="13" t="s">
        <v>732</v>
      </c>
      <c r="E264" s="13" t="s">
        <v>726</v>
      </c>
      <c r="F264" s="119" t="s">
        <v>1036</v>
      </c>
    </row>
    <row r="265" spans="1:6">
      <c r="A265" s="117" t="s">
        <v>168</v>
      </c>
      <c r="B265" s="117" t="s">
        <v>1411</v>
      </c>
      <c r="C265" s="118" t="s">
        <v>1412</v>
      </c>
      <c r="D265" s="13" t="s">
        <v>1052</v>
      </c>
      <c r="E265" s="13" t="s">
        <v>726</v>
      </c>
      <c r="F265" s="119" t="s">
        <v>1004</v>
      </c>
    </row>
    <row r="266" spans="1:6">
      <c r="A266" s="117" t="s">
        <v>168</v>
      </c>
      <c r="B266" s="117" t="s">
        <v>1413</v>
      </c>
      <c r="C266" s="118" t="s">
        <v>1414</v>
      </c>
      <c r="D266" s="13" t="s">
        <v>732</v>
      </c>
      <c r="E266" s="13" t="s">
        <v>726</v>
      </c>
      <c r="F266" s="119" t="s">
        <v>1018</v>
      </c>
    </row>
    <row r="267" spans="1:6">
      <c r="A267" s="117" t="s">
        <v>168</v>
      </c>
      <c r="B267" s="117" t="s">
        <v>1415</v>
      </c>
      <c r="C267" s="118" t="s">
        <v>1416</v>
      </c>
      <c r="D267" s="13" t="s">
        <v>732</v>
      </c>
      <c r="E267" s="13" t="s">
        <v>726</v>
      </c>
      <c r="F267" s="119" t="s">
        <v>1018</v>
      </c>
    </row>
    <row r="268" spans="1:6">
      <c r="A268" s="117" t="s">
        <v>168</v>
      </c>
      <c r="B268" s="117" t="s">
        <v>1417</v>
      </c>
      <c r="C268" s="118" t="s">
        <v>1418</v>
      </c>
      <c r="D268" s="13" t="s">
        <v>732</v>
      </c>
      <c r="E268" s="13" t="s">
        <v>726</v>
      </c>
      <c r="F268" s="119" t="s">
        <v>1015</v>
      </c>
    </row>
    <row r="269" spans="1:6">
      <c r="A269" s="117" t="s">
        <v>168</v>
      </c>
      <c r="B269" s="117" t="s">
        <v>1419</v>
      </c>
      <c r="C269" s="118" t="s">
        <v>1420</v>
      </c>
      <c r="D269" s="13" t="s">
        <v>732</v>
      </c>
      <c r="E269" s="13" t="s">
        <v>726</v>
      </c>
      <c r="F269" s="119" t="s">
        <v>1018</v>
      </c>
    </row>
    <row r="270" spans="1:6">
      <c r="A270" s="117" t="s">
        <v>168</v>
      </c>
      <c r="B270" s="117" t="s">
        <v>848</v>
      </c>
      <c r="C270" s="118" t="s">
        <v>849</v>
      </c>
      <c r="D270" s="13" t="s">
        <v>732</v>
      </c>
      <c r="E270" s="13" t="s">
        <v>726</v>
      </c>
      <c r="F270" s="119" t="s">
        <v>1004</v>
      </c>
    </row>
    <row r="271" spans="1:6">
      <c r="A271" s="117" t="s">
        <v>168</v>
      </c>
      <c r="B271" s="117" t="s">
        <v>1421</v>
      </c>
      <c r="C271" s="118" t="s">
        <v>1422</v>
      </c>
      <c r="D271" s="13" t="s">
        <v>1052</v>
      </c>
      <c r="E271" s="13" t="s">
        <v>726</v>
      </c>
      <c r="F271" s="119" t="s">
        <v>1004</v>
      </c>
    </row>
    <row r="272" spans="1:6">
      <c r="A272" s="117" t="s">
        <v>168</v>
      </c>
      <c r="B272" s="117" t="s">
        <v>1423</v>
      </c>
      <c r="C272" s="118" t="s">
        <v>1424</v>
      </c>
      <c r="D272" s="13" t="s">
        <v>1052</v>
      </c>
      <c r="E272" s="13" t="s">
        <v>726</v>
      </c>
      <c r="F272" s="119" t="s">
        <v>1033</v>
      </c>
    </row>
    <row r="273" spans="1:6">
      <c r="A273" s="117" t="s">
        <v>168</v>
      </c>
      <c r="B273" s="117" t="s">
        <v>1425</v>
      </c>
      <c r="C273" s="118" t="s">
        <v>1426</v>
      </c>
      <c r="D273" s="13" t="s">
        <v>1052</v>
      </c>
      <c r="E273" s="13" t="s">
        <v>726</v>
      </c>
      <c r="F273" s="119" t="s">
        <v>1036</v>
      </c>
    </row>
    <row r="274" spans="1:6">
      <c r="A274" s="117" t="s">
        <v>168</v>
      </c>
      <c r="B274" s="117" t="s">
        <v>850</v>
      </c>
      <c r="C274" s="118" t="s">
        <v>851</v>
      </c>
      <c r="D274" s="13" t="s">
        <v>732</v>
      </c>
      <c r="E274" s="13" t="s">
        <v>733</v>
      </c>
      <c r="F274" s="119" t="s">
        <v>1004</v>
      </c>
    </row>
    <row r="275" spans="1:6">
      <c r="A275" s="117" t="s">
        <v>168</v>
      </c>
      <c r="B275" s="117" t="s">
        <v>1427</v>
      </c>
      <c r="C275" s="118" t="s">
        <v>1428</v>
      </c>
      <c r="D275" s="13" t="s">
        <v>308</v>
      </c>
      <c r="E275" s="13" t="s">
        <v>733</v>
      </c>
      <c r="F275" s="119" t="s">
        <v>1004</v>
      </c>
    </row>
    <row r="276" spans="1:6">
      <c r="A276" s="117" t="s">
        <v>168</v>
      </c>
      <c r="B276" s="117" t="s">
        <v>1429</v>
      </c>
      <c r="C276" s="118" t="s">
        <v>1430</v>
      </c>
      <c r="D276" s="13" t="s">
        <v>308</v>
      </c>
      <c r="E276" s="13" t="s">
        <v>733</v>
      </c>
      <c r="F276" s="119" t="s">
        <v>1004</v>
      </c>
    </row>
    <row r="277" spans="1:6">
      <c r="A277" s="117" t="s">
        <v>168</v>
      </c>
      <c r="B277" s="117" t="s">
        <v>1431</v>
      </c>
      <c r="C277" s="118" t="s">
        <v>1432</v>
      </c>
      <c r="D277" s="13" t="s">
        <v>308</v>
      </c>
      <c r="E277" s="13" t="s">
        <v>733</v>
      </c>
      <c r="F277" s="119" t="s">
        <v>1033</v>
      </c>
    </row>
    <row r="278" spans="1:6">
      <c r="A278" s="117" t="s">
        <v>168</v>
      </c>
      <c r="B278" s="117" t="s">
        <v>1433</v>
      </c>
      <c r="C278" s="118" t="s">
        <v>1434</v>
      </c>
      <c r="D278" s="13" t="s">
        <v>308</v>
      </c>
      <c r="E278" s="13" t="s">
        <v>733</v>
      </c>
      <c r="F278" s="119" t="s">
        <v>1033</v>
      </c>
    </row>
    <row r="279" spans="1:6">
      <c r="A279" s="117" t="s">
        <v>168</v>
      </c>
      <c r="B279" s="117" t="s">
        <v>1435</v>
      </c>
      <c r="C279" s="118" t="s">
        <v>1436</v>
      </c>
      <c r="D279" s="13" t="s">
        <v>308</v>
      </c>
      <c r="E279" s="13" t="s">
        <v>733</v>
      </c>
      <c r="F279" s="119" t="s">
        <v>1018</v>
      </c>
    </row>
    <row r="280" spans="1:6">
      <c r="A280" s="117" t="s">
        <v>168</v>
      </c>
      <c r="B280" s="117" t="s">
        <v>1437</v>
      </c>
      <c r="C280" s="118" t="s">
        <v>1438</v>
      </c>
      <c r="D280" s="13" t="s">
        <v>308</v>
      </c>
      <c r="E280" s="13" t="s">
        <v>733</v>
      </c>
      <c r="F280" s="119" t="s">
        <v>1004</v>
      </c>
    </row>
    <row r="281" spans="1:6">
      <c r="A281" s="117"/>
      <c r="B281" s="117"/>
      <c r="C281" s="118"/>
      <c r="D281" s="49"/>
      <c r="E281" s="49"/>
      <c r="F281" s="49"/>
    </row>
    <row r="282" spans="1:6">
      <c r="A282" s="117"/>
      <c r="B282" s="117"/>
      <c r="C282" s="118"/>
      <c r="D282" s="49"/>
      <c r="E282" s="49"/>
      <c r="F282" s="49"/>
    </row>
    <row r="283" spans="1:6">
      <c r="A283" s="117"/>
      <c r="B283" s="117"/>
      <c r="C283" s="118"/>
      <c r="D283" s="49"/>
      <c r="E283" s="49"/>
      <c r="F283" s="49"/>
    </row>
    <row r="284" spans="1:6">
      <c r="A284" s="117" t="s">
        <v>413</v>
      </c>
      <c r="B284" s="117" t="s">
        <v>852</v>
      </c>
      <c r="C284" s="118" t="s">
        <v>853</v>
      </c>
      <c r="D284" s="13" t="s">
        <v>732</v>
      </c>
      <c r="E284" s="13" t="s">
        <v>733</v>
      </c>
      <c r="F284" s="119" t="s">
        <v>1004</v>
      </c>
    </row>
    <row r="285" spans="1:6">
      <c r="A285" s="117" t="s">
        <v>413</v>
      </c>
      <c r="B285" s="117" t="s">
        <v>854</v>
      </c>
      <c r="C285" s="118" t="s">
        <v>855</v>
      </c>
      <c r="D285" s="13" t="s">
        <v>732</v>
      </c>
      <c r="E285" s="13" t="s">
        <v>733</v>
      </c>
      <c r="F285" s="119" t="s">
        <v>1004</v>
      </c>
    </row>
    <row r="286" spans="1:6">
      <c r="A286" s="117" t="s">
        <v>413</v>
      </c>
      <c r="B286" s="117" t="s">
        <v>856</v>
      </c>
      <c r="C286" s="118" t="s">
        <v>857</v>
      </c>
      <c r="D286" s="13" t="s">
        <v>732</v>
      </c>
      <c r="E286" s="13" t="s">
        <v>733</v>
      </c>
      <c r="F286" s="119" t="s">
        <v>1036</v>
      </c>
    </row>
    <row r="287" spans="1:6">
      <c r="A287" s="117" t="s">
        <v>413</v>
      </c>
      <c r="B287" s="117" t="s">
        <v>858</v>
      </c>
      <c r="C287" s="118" t="s">
        <v>859</v>
      </c>
      <c r="D287" s="13" t="s">
        <v>732</v>
      </c>
      <c r="E287" s="13" t="s">
        <v>733</v>
      </c>
      <c r="F287" s="119" t="s">
        <v>1134</v>
      </c>
    </row>
    <row r="288" spans="1:6">
      <c r="A288" s="117" t="s">
        <v>413</v>
      </c>
      <c r="B288" s="117" t="s">
        <v>860</v>
      </c>
      <c r="C288" s="118" t="s">
        <v>861</v>
      </c>
      <c r="D288" s="13" t="s">
        <v>732</v>
      </c>
      <c r="E288" s="13" t="s">
        <v>733</v>
      </c>
      <c r="F288" s="119" t="s">
        <v>1110</v>
      </c>
    </row>
    <row r="289" spans="1:6">
      <c r="A289" s="117" t="s">
        <v>413</v>
      </c>
      <c r="B289" s="117" t="s">
        <v>862</v>
      </c>
      <c r="C289" s="118" t="s">
        <v>863</v>
      </c>
      <c r="D289" s="13" t="s">
        <v>732</v>
      </c>
      <c r="E289" s="13" t="s">
        <v>733</v>
      </c>
      <c r="F289" s="119" t="s">
        <v>1004</v>
      </c>
    </row>
    <row r="290" spans="1:6">
      <c r="A290" s="117" t="s">
        <v>413</v>
      </c>
      <c r="B290" s="117" t="s">
        <v>864</v>
      </c>
      <c r="C290" s="118" t="s">
        <v>865</v>
      </c>
      <c r="D290" s="13" t="s">
        <v>732</v>
      </c>
      <c r="E290" s="13" t="s">
        <v>733</v>
      </c>
      <c r="F290" s="119" t="s">
        <v>1004</v>
      </c>
    </row>
    <row r="291" spans="1:6">
      <c r="A291" s="117" t="s">
        <v>413</v>
      </c>
      <c r="B291" s="117" t="s">
        <v>1439</v>
      </c>
      <c r="C291" s="118" t="s">
        <v>1440</v>
      </c>
      <c r="D291" s="13" t="s">
        <v>1052</v>
      </c>
      <c r="E291" s="13" t="s">
        <v>733</v>
      </c>
      <c r="F291" s="119" t="s">
        <v>1113</v>
      </c>
    </row>
    <row r="292" spans="1:6">
      <c r="A292" s="117" t="s">
        <v>413</v>
      </c>
      <c r="B292" s="117" t="s">
        <v>866</v>
      </c>
      <c r="C292" s="118" t="s">
        <v>867</v>
      </c>
      <c r="D292" s="13" t="s">
        <v>732</v>
      </c>
      <c r="E292" s="13" t="s">
        <v>733</v>
      </c>
      <c r="F292" s="119" t="s">
        <v>1134</v>
      </c>
    </row>
    <row r="293" spans="1:6">
      <c r="A293" s="117" t="s">
        <v>413</v>
      </c>
      <c r="B293" s="117" t="s">
        <v>868</v>
      </c>
      <c r="C293" s="118" t="s">
        <v>869</v>
      </c>
      <c r="D293" s="13" t="s">
        <v>732</v>
      </c>
      <c r="E293" s="13" t="s">
        <v>733</v>
      </c>
      <c r="F293" s="119" t="s">
        <v>1110</v>
      </c>
    </row>
    <row r="294" spans="1:6">
      <c r="A294" s="117" t="s">
        <v>413</v>
      </c>
      <c r="B294" s="117" t="s">
        <v>871</v>
      </c>
      <c r="C294" s="118" t="s">
        <v>872</v>
      </c>
      <c r="D294" s="13" t="s">
        <v>732</v>
      </c>
      <c r="E294" s="13" t="s">
        <v>733</v>
      </c>
      <c r="F294" s="119" t="s">
        <v>1027</v>
      </c>
    </row>
    <row r="295" spans="1:6">
      <c r="A295" s="117" t="s">
        <v>413</v>
      </c>
      <c r="B295" s="117" t="s">
        <v>873</v>
      </c>
      <c r="C295" s="118" t="s">
        <v>874</v>
      </c>
      <c r="D295" s="13" t="s">
        <v>732</v>
      </c>
      <c r="E295" s="13" t="s">
        <v>733</v>
      </c>
      <c r="F295" s="119" t="s">
        <v>1004</v>
      </c>
    </row>
    <row r="296" spans="1:6">
      <c r="A296" s="117" t="s">
        <v>413</v>
      </c>
      <c r="B296" s="117" t="s">
        <v>875</v>
      </c>
      <c r="C296" s="118" t="s">
        <v>876</v>
      </c>
      <c r="D296" s="13" t="s">
        <v>732</v>
      </c>
      <c r="E296" s="13" t="s">
        <v>733</v>
      </c>
      <c r="F296" s="119" t="s">
        <v>1004</v>
      </c>
    </row>
    <row r="297" spans="1:6">
      <c r="A297" s="117" t="s">
        <v>413</v>
      </c>
      <c r="B297" s="117" t="s">
        <v>877</v>
      </c>
      <c r="C297" s="118" t="s">
        <v>878</v>
      </c>
      <c r="D297" s="13" t="s">
        <v>732</v>
      </c>
      <c r="E297" s="13" t="s">
        <v>733</v>
      </c>
      <c r="F297" s="119" t="s">
        <v>1041</v>
      </c>
    </row>
    <row r="298" spans="1:6">
      <c r="A298" s="117" t="s">
        <v>413</v>
      </c>
      <c r="B298" s="117" t="s">
        <v>1441</v>
      </c>
      <c r="C298" s="118" t="s">
        <v>1442</v>
      </c>
      <c r="D298" s="13" t="s">
        <v>1052</v>
      </c>
      <c r="E298" s="13" t="s">
        <v>733</v>
      </c>
      <c r="F298" s="119" t="s">
        <v>1021</v>
      </c>
    </row>
    <row r="299" spans="1:6">
      <c r="A299" s="117" t="s">
        <v>413</v>
      </c>
      <c r="B299" s="117" t="s">
        <v>1443</v>
      </c>
      <c r="C299" s="118" t="s">
        <v>1444</v>
      </c>
      <c r="D299" s="13" t="s">
        <v>1052</v>
      </c>
      <c r="E299" s="13" t="s">
        <v>733</v>
      </c>
      <c r="F299" s="119" t="s">
        <v>1021</v>
      </c>
    </row>
    <row r="300" spans="1:6">
      <c r="A300" s="117" t="s">
        <v>413</v>
      </c>
      <c r="B300" s="117" t="s">
        <v>879</v>
      </c>
      <c r="C300" s="118" t="s">
        <v>880</v>
      </c>
      <c r="D300" s="13" t="s">
        <v>732</v>
      </c>
      <c r="E300" s="13" t="s">
        <v>733</v>
      </c>
      <c r="F300" s="119" t="s">
        <v>1021</v>
      </c>
    </row>
    <row r="301" spans="1:6">
      <c r="A301" s="117" t="s">
        <v>413</v>
      </c>
      <c r="B301" s="117" t="s">
        <v>881</v>
      </c>
      <c r="C301" s="118" t="s">
        <v>882</v>
      </c>
      <c r="D301" s="13" t="s">
        <v>732</v>
      </c>
      <c r="E301" s="13" t="s">
        <v>733</v>
      </c>
      <c r="F301" s="119" t="s">
        <v>1004</v>
      </c>
    </row>
    <row r="302" spans="1:6">
      <c r="A302" s="117" t="s">
        <v>413</v>
      </c>
      <c r="B302" s="117" t="s">
        <v>883</v>
      </c>
      <c r="C302" s="118" t="s">
        <v>884</v>
      </c>
      <c r="D302" s="13" t="s">
        <v>732</v>
      </c>
      <c r="E302" s="13" t="s">
        <v>733</v>
      </c>
      <c r="F302" s="119" t="s">
        <v>1021</v>
      </c>
    </row>
    <row r="303" spans="1:6">
      <c r="A303" s="117" t="s">
        <v>413</v>
      </c>
      <c r="B303" s="117" t="s">
        <v>885</v>
      </c>
      <c r="C303" s="118" t="s">
        <v>886</v>
      </c>
      <c r="D303" s="13" t="s">
        <v>732</v>
      </c>
      <c r="E303" s="13" t="s">
        <v>733</v>
      </c>
      <c r="F303" s="119" t="s">
        <v>1041</v>
      </c>
    </row>
    <row r="304" spans="1:6">
      <c r="A304" s="117" t="s">
        <v>413</v>
      </c>
      <c r="B304" s="117" t="s">
        <v>887</v>
      </c>
      <c r="C304" s="118" t="s">
        <v>888</v>
      </c>
      <c r="D304" s="13" t="s">
        <v>732</v>
      </c>
      <c r="E304" s="13" t="s">
        <v>733</v>
      </c>
      <c r="F304" s="119" t="s">
        <v>1021</v>
      </c>
    </row>
    <row r="305" spans="1:6">
      <c r="A305" s="117" t="s">
        <v>413</v>
      </c>
      <c r="B305" s="117" t="s">
        <v>889</v>
      </c>
      <c r="C305" s="118" t="s">
        <v>890</v>
      </c>
      <c r="D305" s="13" t="s">
        <v>732</v>
      </c>
      <c r="E305" s="13" t="s">
        <v>733</v>
      </c>
      <c r="F305" s="119" t="s">
        <v>1027</v>
      </c>
    </row>
    <row r="306" spans="1:6">
      <c r="A306" s="117" t="s">
        <v>413</v>
      </c>
      <c r="B306" s="117" t="s">
        <v>1445</v>
      </c>
      <c r="C306" s="118" t="s">
        <v>1446</v>
      </c>
      <c r="D306" s="13" t="s">
        <v>1052</v>
      </c>
      <c r="E306" s="13" t="s">
        <v>726</v>
      </c>
      <c r="F306" s="119" t="s">
        <v>1004</v>
      </c>
    </row>
    <row r="307" spans="1:6">
      <c r="A307" s="117"/>
      <c r="B307" s="117"/>
      <c r="C307" s="118"/>
      <c r="D307" s="49"/>
      <c r="E307" s="49"/>
      <c r="F307" s="49"/>
    </row>
    <row r="308" spans="1:6">
      <c r="A308" s="117"/>
      <c r="B308" s="117"/>
      <c r="C308" s="118"/>
      <c r="D308" s="49"/>
      <c r="E308" s="49"/>
      <c r="F308" s="49"/>
    </row>
    <row r="309" spans="1:6">
      <c r="A309" s="117"/>
      <c r="B309" s="117"/>
      <c r="C309" s="118"/>
      <c r="D309" s="49"/>
      <c r="E309" s="49"/>
      <c r="F309" s="49"/>
    </row>
    <row r="310" spans="1:6">
      <c r="A310" s="117" t="s">
        <v>891</v>
      </c>
      <c r="B310" s="117" t="s">
        <v>1447</v>
      </c>
      <c r="C310" s="118" t="s">
        <v>1448</v>
      </c>
      <c r="D310" s="13" t="s">
        <v>732</v>
      </c>
      <c r="E310" s="13" t="s">
        <v>733</v>
      </c>
      <c r="F310" s="119" t="s">
        <v>1449</v>
      </c>
    </row>
    <row r="311" spans="1:6">
      <c r="A311" s="117" t="s">
        <v>891</v>
      </c>
      <c r="B311" s="117" t="s">
        <v>1450</v>
      </c>
      <c r="C311" s="118" t="s">
        <v>1451</v>
      </c>
      <c r="D311" s="13" t="s">
        <v>732</v>
      </c>
      <c r="E311" s="13" t="s">
        <v>733</v>
      </c>
      <c r="F311" s="119" t="s">
        <v>1449</v>
      </c>
    </row>
    <row r="312" spans="1:6">
      <c r="A312" s="117" t="s">
        <v>891</v>
      </c>
      <c r="B312" s="117" t="s">
        <v>1452</v>
      </c>
      <c r="C312" s="118" t="s">
        <v>1453</v>
      </c>
      <c r="D312" s="13" t="s">
        <v>732</v>
      </c>
      <c r="E312" s="13" t="s">
        <v>733</v>
      </c>
      <c r="F312" s="119" t="s">
        <v>1098</v>
      </c>
    </row>
    <row r="313" spans="1:6">
      <c r="A313" s="117" t="s">
        <v>891</v>
      </c>
      <c r="B313" s="117" t="s">
        <v>1454</v>
      </c>
      <c r="C313" s="118" t="s">
        <v>1455</v>
      </c>
      <c r="D313" s="13" t="s">
        <v>732</v>
      </c>
      <c r="E313" s="13" t="s">
        <v>733</v>
      </c>
      <c r="F313" s="119" t="s">
        <v>1009</v>
      </c>
    </row>
    <row r="314" spans="1:6">
      <c r="A314" s="117" t="s">
        <v>891</v>
      </c>
      <c r="B314" s="117" t="s">
        <v>892</v>
      </c>
      <c r="C314" s="118" t="s">
        <v>893</v>
      </c>
      <c r="D314" s="13" t="s">
        <v>732</v>
      </c>
      <c r="E314" s="13" t="s">
        <v>733</v>
      </c>
      <c r="F314" s="119" t="s">
        <v>1456</v>
      </c>
    </row>
    <row r="315" spans="1:6">
      <c r="A315" s="117" t="s">
        <v>891</v>
      </c>
      <c r="B315" s="117" t="s">
        <v>895</v>
      </c>
      <c r="C315" s="118" t="s">
        <v>896</v>
      </c>
      <c r="D315" s="13" t="s">
        <v>732</v>
      </c>
      <c r="E315" s="13" t="s">
        <v>733</v>
      </c>
      <c r="F315" s="119" t="s">
        <v>1098</v>
      </c>
    </row>
    <row r="316" spans="1:6">
      <c r="A316" s="117" t="s">
        <v>891</v>
      </c>
      <c r="B316" s="117" t="s">
        <v>1457</v>
      </c>
      <c r="C316" s="118" t="s">
        <v>1458</v>
      </c>
      <c r="D316" s="13" t="s">
        <v>732</v>
      </c>
      <c r="E316" s="13" t="s">
        <v>733</v>
      </c>
      <c r="F316" s="119" t="s">
        <v>1449</v>
      </c>
    </row>
    <row r="317" spans="1:6">
      <c r="A317" s="117" t="s">
        <v>891</v>
      </c>
      <c r="B317" s="117" t="s">
        <v>1459</v>
      </c>
      <c r="C317" s="118" t="s">
        <v>1460</v>
      </c>
      <c r="D317" s="13" t="s">
        <v>732</v>
      </c>
      <c r="E317" s="13" t="s">
        <v>733</v>
      </c>
      <c r="F317" s="119" t="s">
        <v>1449</v>
      </c>
    </row>
    <row r="318" spans="1:6">
      <c r="A318" s="117" t="s">
        <v>891</v>
      </c>
      <c r="B318" s="117" t="s">
        <v>44</v>
      </c>
      <c r="C318" s="118" t="s">
        <v>1461</v>
      </c>
      <c r="D318" s="13" t="s">
        <v>732</v>
      </c>
      <c r="E318" s="13" t="s">
        <v>733</v>
      </c>
      <c r="F318" s="119" t="s">
        <v>1462</v>
      </c>
    </row>
    <row r="319" spans="1:6">
      <c r="A319" s="117" t="s">
        <v>891</v>
      </c>
      <c r="B319" s="117" t="s">
        <v>85</v>
      </c>
      <c r="C319" s="118" t="s">
        <v>1463</v>
      </c>
      <c r="D319" s="13" t="s">
        <v>732</v>
      </c>
      <c r="E319" s="13" t="s">
        <v>733</v>
      </c>
      <c r="F319" s="119" t="s">
        <v>1462</v>
      </c>
    </row>
    <row r="320" spans="1:6">
      <c r="A320" s="117" t="s">
        <v>891</v>
      </c>
      <c r="B320" s="117" t="s">
        <v>146</v>
      </c>
      <c r="C320" s="118" t="s">
        <v>1464</v>
      </c>
      <c r="D320" s="13" t="s">
        <v>732</v>
      </c>
      <c r="E320" s="13" t="s">
        <v>733</v>
      </c>
      <c r="F320" s="119" t="s">
        <v>1098</v>
      </c>
    </row>
    <row r="321" spans="1:6">
      <c r="A321" s="117" t="s">
        <v>891</v>
      </c>
      <c r="B321" s="117" t="s">
        <v>1465</v>
      </c>
      <c r="C321" s="118" t="s">
        <v>1466</v>
      </c>
      <c r="D321" s="13" t="s">
        <v>732</v>
      </c>
      <c r="E321" s="13" t="s">
        <v>733</v>
      </c>
      <c r="F321" s="119" t="s">
        <v>1098</v>
      </c>
    </row>
    <row r="322" spans="1:6">
      <c r="A322" s="117" t="s">
        <v>891</v>
      </c>
      <c r="B322" s="117" t="s">
        <v>1467</v>
      </c>
      <c r="C322" s="118" t="s">
        <v>1468</v>
      </c>
      <c r="D322" s="13" t="s">
        <v>732</v>
      </c>
      <c r="E322" s="13" t="s">
        <v>726</v>
      </c>
      <c r="F322" s="119" t="s">
        <v>1449</v>
      </c>
    </row>
    <row r="323" spans="1:6">
      <c r="A323" s="117" t="s">
        <v>891</v>
      </c>
      <c r="B323" s="117" t="s">
        <v>898</v>
      </c>
      <c r="C323" s="118" t="s">
        <v>899</v>
      </c>
      <c r="D323" s="13" t="s">
        <v>732</v>
      </c>
      <c r="E323" s="13" t="s">
        <v>733</v>
      </c>
      <c r="F323" s="119" t="s">
        <v>1449</v>
      </c>
    </row>
    <row r="324" spans="1:6">
      <c r="A324" s="117" t="s">
        <v>891</v>
      </c>
      <c r="B324" s="117" t="s">
        <v>1469</v>
      </c>
      <c r="C324" s="118" t="s">
        <v>1470</v>
      </c>
      <c r="D324" s="13" t="s">
        <v>732</v>
      </c>
      <c r="E324" s="13" t="s">
        <v>726</v>
      </c>
      <c r="F324" s="119" t="s">
        <v>1449</v>
      </c>
    </row>
    <row r="325" spans="1:6">
      <c r="A325" s="117" t="s">
        <v>891</v>
      </c>
      <c r="B325" s="117" t="s">
        <v>1471</v>
      </c>
      <c r="C325" s="118" t="s">
        <v>1472</v>
      </c>
      <c r="D325" s="13" t="s">
        <v>308</v>
      </c>
      <c r="E325" s="13" t="s">
        <v>726</v>
      </c>
      <c r="F325" s="119" t="s">
        <v>1098</v>
      </c>
    </row>
    <row r="326" spans="1:6">
      <c r="A326" s="117" t="s">
        <v>891</v>
      </c>
      <c r="B326" s="117" t="s">
        <v>1473</v>
      </c>
      <c r="C326" s="118" t="s">
        <v>1474</v>
      </c>
      <c r="D326" s="13" t="s">
        <v>1052</v>
      </c>
      <c r="E326" s="13" t="s">
        <v>726</v>
      </c>
      <c r="F326" s="119" t="s">
        <v>1098</v>
      </c>
    </row>
    <row r="327" spans="1:6">
      <c r="A327" s="117" t="s">
        <v>891</v>
      </c>
      <c r="B327" s="117" t="s">
        <v>1475</v>
      </c>
      <c r="C327" s="118" t="s">
        <v>1476</v>
      </c>
      <c r="D327" s="13" t="s">
        <v>308</v>
      </c>
      <c r="E327" s="13" t="s">
        <v>726</v>
      </c>
      <c r="F327" s="119" t="s">
        <v>1098</v>
      </c>
    </row>
    <row r="328" spans="1:6">
      <c r="A328" s="117" t="s">
        <v>891</v>
      </c>
      <c r="B328" s="117" t="s">
        <v>1477</v>
      </c>
      <c r="C328" s="118" t="s">
        <v>1478</v>
      </c>
      <c r="D328" s="13" t="s">
        <v>308</v>
      </c>
      <c r="E328" s="13" t="s">
        <v>726</v>
      </c>
      <c r="F328" s="119" t="s">
        <v>1098</v>
      </c>
    </row>
    <row r="329" spans="1:6">
      <c r="A329" s="117"/>
      <c r="B329" s="117"/>
      <c r="C329" s="118"/>
      <c r="D329" s="49"/>
      <c r="E329" s="49"/>
      <c r="F329" s="49"/>
    </row>
    <row r="330" spans="1:6">
      <c r="A330" s="117"/>
      <c r="B330" s="117"/>
      <c r="C330" s="118"/>
      <c r="D330" s="49"/>
      <c r="E330" s="49"/>
      <c r="F330" s="49"/>
    </row>
    <row r="331" spans="1:6">
      <c r="A331" s="117"/>
      <c r="B331" s="117"/>
      <c r="C331" s="118"/>
      <c r="D331" s="49"/>
      <c r="E331" s="49"/>
      <c r="F331" s="49"/>
    </row>
    <row r="332" spans="1:6">
      <c r="A332" s="117" t="s">
        <v>316</v>
      </c>
      <c r="B332" s="117" t="s">
        <v>1479</v>
      </c>
      <c r="C332" s="118" t="s">
        <v>1480</v>
      </c>
      <c r="D332" s="13" t="s">
        <v>308</v>
      </c>
      <c r="E332" s="13" t="s">
        <v>733</v>
      </c>
      <c r="F332" s="119" t="s">
        <v>1041</v>
      </c>
    </row>
    <row r="333" spans="1:6">
      <c r="A333" s="117" t="s">
        <v>316</v>
      </c>
      <c r="B333" s="117" t="s">
        <v>1481</v>
      </c>
      <c r="C333" s="118" t="s">
        <v>1482</v>
      </c>
      <c r="D333" s="13" t="s">
        <v>308</v>
      </c>
      <c r="E333" s="13" t="s">
        <v>733</v>
      </c>
      <c r="F333" s="119" t="s">
        <v>1036</v>
      </c>
    </row>
    <row r="334" spans="1:6">
      <c r="A334" s="117" t="s">
        <v>316</v>
      </c>
      <c r="B334" s="117" t="s">
        <v>1483</v>
      </c>
      <c r="C334" s="118" t="s">
        <v>1484</v>
      </c>
      <c r="D334" s="13" t="s">
        <v>308</v>
      </c>
      <c r="E334" s="13" t="s">
        <v>733</v>
      </c>
      <c r="F334" s="119" t="s">
        <v>1004</v>
      </c>
    </row>
    <row r="335" spans="1:6">
      <c r="A335" s="117" t="s">
        <v>316</v>
      </c>
      <c r="B335" s="117" t="s">
        <v>1485</v>
      </c>
      <c r="C335" s="118" t="s">
        <v>1486</v>
      </c>
      <c r="D335" s="13" t="s">
        <v>1052</v>
      </c>
      <c r="E335" s="13" t="s">
        <v>733</v>
      </c>
      <c r="F335" s="119" t="s">
        <v>1041</v>
      </c>
    </row>
    <row r="336" spans="1:6">
      <c r="A336" s="117" t="s">
        <v>316</v>
      </c>
      <c r="B336" s="117" t="s">
        <v>1487</v>
      </c>
      <c r="C336" s="118" t="s">
        <v>1488</v>
      </c>
      <c r="D336" s="13" t="s">
        <v>308</v>
      </c>
      <c r="E336" s="13" t="s">
        <v>733</v>
      </c>
      <c r="F336" s="119" t="s">
        <v>1027</v>
      </c>
    </row>
    <row r="337" spans="1:6">
      <c r="A337" s="117" t="s">
        <v>316</v>
      </c>
      <c r="B337" s="117" t="s">
        <v>1489</v>
      </c>
      <c r="C337" s="118" t="s">
        <v>1490</v>
      </c>
      <c r="D337" s="13" t="s">
        <v>308</v>
      </c>
      <c r="E337" s="13" t="s">
        <v>733</v>
      </c>
      <c r="F337" s="119" t="s">
        <v>1027</v>
      </c>
    </row>
    <row r="338" spans="1:6">
      <c r="A338" s="117" t="s">
        <v>316</v>
      </c>
      <c r="B338" s="117" t="s">
        <v>1491</v>
      </c>
      <c r="C338" s="118" t="s">
        <v>1492</v>
      </c>
      <c r="D338" s="13" t="s">
        <v>308</v>
      </c>
      <c r="E338" s="13" t="s">
        <v>733</v>
      </c>
      <c r="F338" s="119" t="s">
        <v>1027</v>
      </c>
    </row>
    <row r="339" spans="1:6">
      <c r="A339" s="117" t="s">
        <v>316</v>
      </c>
      <c r="B339" s="117" t="s">
        <v>1493</v>
      </c>
      <c r="C339" s="118" t="s">
        <v>1494</v>
      </c>
      <c r="D339" s="13" t="s">
        <v>308</v>
      </c>
      <c r="E339" s="13" t="s">
        <v>733</v>
      </c>
      <c r="F339" s="119" t="s">
        <v>1041</v>
      </c>
    </row>
    <row r="340" spans="1:6">
      <c r="A340" s="117" t="s">
        <v>316</v>
      </c>
      <c r="B340" s="117" t="s">
        <v>1495</v>
      </c>
      <c r="C340" s="118" t="s">
        <v>1496</v>
      </c>
      <c r="D340" s="13" t="s">
        <v>308</v>
      </c>
      <c r="E340" s="13" t="s">
        <v>733</v>
      </c>
      <c r="F340" s="119" t="s">
        <v>1134</v>
      </c>
    </row>
    <row r="341" spans="1:6">
      <c r="A341" s="117" t="s">
        <v>316</v>
      </c>
      <c r="B341" s="117" t="s">
        <v>1497</v>
      </c>
      <c r="C341" s="118" t="s">
        <v>1498</v>
      </c>
      <c r="D341" s="13" t="s">
        <v>308</v>
      </c>
      <c r="E341" s="13" t="s">
        <v>733</v>
      </c>
      <c r="F341" s="119" t="s">
        <v>1104</v>
      </c>
    </row>
    <row r="342" spans="1:6">
      <c r="A342" s="117" t="s">
        <v>316</v>
      </c>
      <c r="B342" s="117" t="s">
        <v>1499</v>
      </c>
      <c r="C342" s="118" t="s">
        <v>1500</v>
      </c>
      <c r="D342" s="13" t="s">
        <v>308</v>
      </c>
      <c r="E342" s="13" t="s">
        <v>733</v>
      </c>
      <c r="F342" s="119" t="s">
        <v>1036</v>
      </c>
    </row>
    <row r="343" spans="1:6">
      <c r="A343" s="117" t="s">
        <v>316</v>
      </c>
      <c r="B343" s="117" t="s">
        <v>1501</v>
      </c>
      <c r="C343" s="118" t="s">
        <v>1502</v>
      </c>
      <c r="D343" s="13" t="s">
        <v>308</v>
      </c>
      <c r="E343" s="13" t="s">
        <v>733</v>
      </c>
      <c r="F343" s="119" t="s">
        <v>1009</v>
      </c>
    </row>
    <row r="344" spans="1:6">
      <c r="A344" s="117" t="s">
        <v>316</v>
      </c>
      <c r="B344" s="117" t="s">
        <v>1503</v>
      </c>
      <c r="C344" s="118" t="s">
        <v>1504</v>
      </c>
      <c r="D344" s="13" t="s">
        <v>308</v>
      </c>
      <c r="E344" s="13" t="s">
        <v>733</v>
      </c>
      <c r="F344" s="119" t="s">
        <v>1004</v>
      </c>
    </row>
    <row r="345" spans="1:6">
      <c r="A345" s="117" t="s">
        <v>316</v>
      </c>
      <c r="B345" s="117" t="s">
        <v>1505</v>
      </c>
      <c r="C345" s="118" t="s">
        <v>1506</v>
      </c>
      <c r="D345" s="13" t="s">
        <v>308</v>
      </c>
      <c r="E345" s="13" t="s">
        <v>733</v>
      </c>
      <c r="F345" s="119" t="s">
        <v>1004</v>
      </c>
    </row>
    <row r="346" spans="1:6">
      <c r="A346" s="117" t="s">
        <v>316</v>
      </c>
      <c r="B346" s="117" t="s">
        <v>900</v>
      </c>
      <c r="C346" s="118" t="s">
        <v>901</v>
      </c>
      <c r="D346" s="13" t="s">
        <v>732</v>
      </c>
      <c r="E346" s="13" t="s">
        <v>726</v>
      </c>
      <c r="F346" s="119" t="s">
        <v>1507</v>
      </c>
    </row>
    <row r="347" spans="1:6">
      <c r="A347" s="117" t="s">
        <v>316</v>
      </c>
      <c r="B347" s="117" t="s">
        <v>902</v>
      </c>
      <c r="C347" s="118" t="s">
        <v>903</v>
      </c>
      <c r="D347" s="13" t="s">
        <v>732</v>
      </c>
      <c r="E347" s="13" t="s">
        <v>726</v>
      </c>
      <c r="F347" s="119" t="s">
        <v>1021</v>
      </c>
    </row>
    <row r="348" spans="1:6">
      <c r="A348" s="117" t="s">
        <v>316</v>
      </c>
      <c r="B348" s="117" t="s">
        <v>1508</v>
      </c>
      <c r="C348" s="118" t="s">
        <v>1509</v>
      </c>
      <c r="D348" s="13" t="s">
        <v>1052</v>
      </c>
      <c r="E348" s="13" t="s">
        <v>726</v>
      </c>
      <c r="F348" s="119" t="s">
        <v>1018</v>
      </c>
    </row>
    <row r="349" spans="1:6">
      <c r="A349" s="117" t="s">
        <v>316</v>
      </c>
      <c r="B349" s="117" t="s">
        <v>904</v>
      </c>
      <c r="C349" s="118" t="s">
        <v>905</v>
      </c>
      <c r="D349" s="13" t="s">
        <v>732</v>
      </c>
      <c r="E349" s="13" t="s">
        <v>726</v>
      </c>
      <c r="F349" s="119" t="s">
        <v>1004</v>
      </c>
    </row>
    <row r="350" spans="1:6">
      <c r="A350" s="117" t="s">
        <v>316</v>
      </c>
      <c r="B350" s="117" t="s">
        <v>906</v>
      </c>
      <c r="C350" s="118" t="s">
        <v>907</v>
      </c>
      <c r="D350" s="13" t="s">
        <v>732</v>
      </c>
      <c r="E350" s="13" t="s">
        <v>726</v>
      </c>
      <c r="F350" s="119" t="s">
        <v>1004</v>
      </c>
    </row>
    <row r="351" spans="1:6">
      <c r="A351" s="117" t="s">
        <v>316</v>
      </c>
      <c r="B351" s="117" t="s">
        <v>1510</v>
      </c>
      <c r="C351" s="118" t="s">
        <v>1511</v>
      </c>
      <c r="D351" s="13" t="s">
        <v>308</v>
      </c>
      <c r="E351" s="13" t="s">
        <v>726</v>
      </c>
      <c r="F351" s="119" t="s">
        <v>1036</v>
      </c>
    </row>
    <row r="352" spans="1:6">
      <c r="A352" s="117" t="s">
        <v>316</v>
      </c>
      <c r="B352" s="117" t="s">
        <v>909</v>
      </c>
      <c r="C352" s="118" t="s">
        <v>910</v>
      </c>
      <c r="D352" s="13" t="s">
        <v>732</v>
      </c>
      <c r="E352" s="13" t="s">
        <v>726</v>
      </c>
      <c r="F352" s="119" t="s">
        <v>1021</v>
      </c>
    </row>
    <row r="353" spans="1:6">
      <c r="A353" s="117" t="s">
        <v>316</v>
      </c>
      <c r="B353" s="117" t="s">
        <v>911</v>
      </c>
      <c r="C353" s="118" t="s">
        <v>912</v>
      </c>
      <c r="D353" s="13" t="s">
        <v>732</v>
      </c>
      <c r="E353" s="13" t="s">
        <v>733</v>
      </c>
      <c r="F353" s="119" t="s">
        <v>1004</v>
      </c>
    </row>
    <row r="354" spans="1:6">
      <c r="A354" s="117" t="s">
        <v>316</v>
      </c>
      <c r="B354" s="117" t="s">
        <v>913</v>
      </c>
      <c r="C354" s="118" t="s">
        <v>914</v>
      </c>
      <c r="D354" s="13" t="s">
        <v>732</v>
      </c>
      <c r="E354" s="13" t="s">
        <v>733</v>
      </c>
      <c r="F354" s="119" t="s">
        <v>1015</v>
      </c>
    </row>
    <row r="355" spans="1:6">
      <c r="A355" s="117" t="s">
        <v>316</v>
      </c>
      <c r="B355" s="117" t="s">
        <v>915</v>
      </c>
      <c r="C355" s="118" t="s">
        <v>916</v>
      </c>
      <c r="D355" s="13" t="s">
        <v>732</v>
      </c>
      <c r="E355" s="13" t="s">
        <v>726</v>
      </c>
      <c r="F355" s="119" t="s">
        <v>1004</v>
      </c>
    </row>
    <row r="356" spans="1:6">
      <c r="A356" s="117" t="s">
        <v>316</v>
      </c>
      <c r="B356" s="117" t="s">
        <v>918</v>
      </c>
      <c r="C356" s="118" t="s">
        <v>919</v>
      </c>
      <c r="D356" s="13" t="s">
        <v>732</v>
      </c>
      <c r="E356" s="13" t="s">
        <v>733</v>
      </c>
      <c r="F356" s="119" t="s">
        <v>1021</v>
      </c>
    </row>
    <row r="357" spans="1:6">
      <c r="A357" s="117" t="s">
        <v>316</v>
      </c>
      <c r="B357" s="117" t="s">
        <v>1512</v>
      </c>
      <c r="C357" s="118" t="s">
        <v>1513</v>
      </c>
      <c r="D357" s="13" t="s">
        <v>308</v>
      </c>
      <c r="E357" s="13" t="s">
        <v>726</v>
      </c>
      <c r="F357" s="119" t="s">
        <v>1027</v>
      </c>
    </row>
    <row r="358" spans="1:6">
      <c r="A358" s="117" t="s">
        <v>316</v>
      </c>
      <c r="B358" s="117" t="s">
        <v>1514</v>
      </c>
      <c r="C358" s="118" t="s">
        <v>1515</v>
      </c>
      <c r="D358" s="13" t="s">
        <v>308</v>
      </c>
      <c r="E358" s="13" t="s">
        <v>726</v>
      </c>
      <c r="F358" s="119" t="s">
        <v>1004</v>
      </c>
    </row>
    <row r="359" spans="1:6">
      <c r="A359" s="117"/>
      <c r="B359" s="117"/>
      <c r="C359" s="118"/>
      <c r="D359" s="49"/>
      <c r="E359" s="49"/>
      <c r="F359" s="49"/>
    </row>
    <row r="360" spans="1:6">
      <c r="A360" s="117"/>
      <c r="B360" s="117"/>
      <c r="C360" s="118"/>
      <c r="D360" s="49"/>
      <c r="E360" s="49"/>
      <c r="F360" s="49"/>
    </row>
    <row r="361" spans="1:6">
      <c r="A361" s="117"/>
      <c r="B361" s="117"/>
      <c r="C361" s="118"/>
      <c r="D361" s="49"/>
      <c r="E361" s="49"/>
      <c r="F361" s="49"/>
    </row>
    <row r="362" spans="1:6">
      <c r="A362" s="117" t="s">
        <v>331</v>
      </c>
      <c r="B362" s="117" t="s">
        <v>1516</v>
      </c>
      <c r="C362" s="118" t="s">
        <v>1517</v>
      </c>
      <c r="D362" s="13" t="s">
        <v>732</v>
      </c>
      <c r="E362" s="13" t="s">
        <v>733</v>
      </c>
      <c r="F362" s="49"/>
    </row>
    <row r="363" spans="1:6">
      <c r="A363" s="117" t="s">
        <v>331</v>
      </c>
      <c r="B363" s="117" t="s">
        <v>1518</v>
      </c>
      <c r="C363" s="118" t="s">
        <v>1519</v>
      </c>
      <c r="D363" s="13" t="s">
        <v>732</v>
      </c>
      <c r="E363" s="13" t="s">
        <v>733</v>
      </c>
      <c r="F363" s="49"/>
    </row>
    <row r="364" spans="1:6">
      <c r="A364" s="117" t="s">
        <v>331</v>
      </c>
      <c r="B364" s="117" t="s">
        <v>1520</v>
      </c>
      <c r="C364" s="118" t="s">
        <v>1521</v>
      </c>
      <c r="D364" s="13" t="s">
        <v>732</v>
      </c>
      <c r="E364" s="13" t="s">
        <v>733</v>
      </c>
      <c r="F364" s="49"/>
    </row>
    <row r="365" spans="1:6">
      <c r="A365" s="117" t="s">
        <v>331</v>
      </c>
      <c r="B365" s="117" t="s">
        <v>1522</v>
      </c>
      <c r="C365" s="118" t="s">
        <v>1523</v>
      </c>
      <c r="D365" s="13" t="s">
        <v>732</v>
      </c>
      <c r="E365" s="13" t="s">
        <v>733</v>
      </c>
      <c r="F365" s="49"/>
    </row>
    <row r="366" spans="1:6">
      <c r="A366" s="117" t="s">
        <v>331</v>
      </c>
      <c r="B366" s="117" t="s">
        <v>1524</v>
      </c>
      <c r="C366" s="118" t="s">
        <v>1525</v>
      </c>
      <c r="D366" s="13" t="s">
        <v>732</v>
      </c>
      <c r="E366" s="13" t="s">
        <v>733</v>
      </c>
      <c r="F366" s="49"/>
    </row>
    <row r="367" spans="1:6">
      <c r="A367" s="117" t="s">
        <v>331</v>
      </c>
      <c r="B367" s="117" t="s">
        <v>1526</v>
      </c>
      <c r="C367" s="118" t="s">
        <v>1527</v>
      </c>
      <c r="D367" s="13" t="s">
        <v>732</v>
      </c>
      <c r="E367" s="13" t="s">
        <v>733</v>
      </c>
      <c r="F367" s="49"/>
    </row>
    <row r="368" spans="1:6">
      <c r="A368" s="117" t="s">
        <v>331</v>
      </c>
      <c r="B368" s="117" t="s">
        <v>1528</v>
      </c>
      <c r="C368" s="118" t="s">
        <v>1529</v>
      </c>
      <c r="D368" s="13" t="s">
        <v>732</v>
      </c>
      <c r="E368" s="13" t="s">
        <v>733</v>
      </c>
      <c r="F368" s="49"/>
    </row>
    <row r="369" spans="1:6">
      <c r="A369" s="117" t="s">
        <v>331</v>
      </c>
      <c r="B369" s="117" t="s">
        <v>1530</v>
      </c>
      <c r="C369" s="118" t="s">
        <v>1531</v>
      </c>
      <c r="D369" s="13" t="s">
        <v>732</v>
      </c>
      <c r="E369" s="13" t="s">
        <v>733</v>
      </c>
      <c r="F369" s="49"/>
    </row>
    <row r="370" spans="1:6">
      <c r="A370" s="117" t="s">
        <v>331</v>
      </c>
      <c r="B370" s="117" t="s">
        <v>1532</v>
      </c>
      <c r="C370" s="118" t="s">
        <v>1533</v>
      </c>
      <c r="D370" s="13" t="s">
        <v>732</v>
      </c>
      <c r="E370" s="13" t="s">
        <v>733</v>
      </c>
      <c r="F370" s="49"/>
    </row>
    <row r="371" spans="1:6">
      <c r="A371" s="117" t="s">
        <v>331</v>
      </c>
      <c r="B371" s="117" t="s">
        <v>1534</v>
      </c>
      <c r="C371" s="118" t="s">
        <v>1535</v>
      </c>
      <c r="D371" s="13" t="s">
        <v>732</v>
      </c>
      <c r="E371" s="13" t="s">
        <v>733</v>
      </c>
      <c r="F371" s="49"/>
    </row>
    <row r="372" spans="1:6">
      <c r="A372" s="117" t="s">
        <v>331</v>
      </c>
      <c r="B372" s="117" t="s">
        <v>1536</v>
      </c>
      <c r="C372" s="118" t="s">
        <v>1537</v>
      </c>
      <c r="D372" s="13" t="s">
        <v>732</v>
      </c>
      <c r="E372" s="13" t="s">
        <v>733</v>
      </c>
      <c r="F372" s="49"/>
    </row>
    <row r="373" spans="1:6">
      <c r="A373" s="117" t="s">
        <v>331</v>
      </c>
      <c r="B373" s="117" t="s">
        <v>1538</v>
      </c>
      <c r="C373" s="118" t="s">
        <v>1539</v>
      </c>
      <c r="D373" s="13" t="s">
        <v>732</v>
      </c>
      <c r="E373" s="13" t="s">
        <v>733</v>
      </c>
      <c r="F373" s="49"/>
    </row>
    <row r="374" spans="1:6">
      <c r="A374" s="117" t="s">
        <v>331</v>
      </c>
      <c r="B374" s="117" t="s">
        <v>1540</v>
      </c>
      <c r="C374" s="118" t="s">
        <v>1541</v>
      </c>
      <c r="D374" s="13" t="s">
        <v>732</v>
      </c>
      <c r="E374" s="13" t="s">
        <v>733</v>
      </c>
      <c r="F374" s="49"/>
    </row>
    <row r="375" spans="1:6">
      <c r="A375" s="117" t="s">
        <v>331</v>
      </c>
      <c r="B375" s="117" t="s">
        <v>1542</v>
      </c>
      <c r="C375" s="118" t="s">
        <v>1543</v>
      </c>
      <c r="D375" s="13" t="s">
        <v>732</v>
      </c>
      <c r="E375" s="13" t="s">
        <v>733</v>
      </c>
      <c r="F375" s="49"/>
    </row>
    <row r="376" spans="1:6">
      <c r="A376" s="117" t="s">
        <v>331</v>
      </c>
      <c r="B376" s="117" t="s">
        <v>1544</v>
      </c>
      <c r="C376" s="118" t="s">
        <v>1545</v>
      </c>
      <c r="D376" s="13" t="s">
        <v>1052</v>
      </c>
      <c r="E376" s="13" t="s">
        <v>733</v>
      </c>
      <c r="F376" s="49"/>
    </row>
    <row r="377" spans="1:6">
      <c r="A377" s="117" t="s">
        <v>331</v>
      </c>
      <c r="B377" s="117" t="s">
        <v>1546</v>
      </c>
      <c r="C377" s="118" t="s">
        <v>1547</v>
      </c>
      <c r="D377" s="13" t="s">
        <v>1052</v>
      </c>
      <c r="E377" s="13" t="s">
        <v>733</v>
      </c>
      <c r="F377" s="49"/>
    </row>
    <row r="378" spans="1:6">
      <c r="A378" s="117" t="s">
        <v>331</v>
      </c>
      <c r="B378" s="117" t="s">
        <v>1548</v>
      </c>
      <c r="C378" s="118" t="s">
        <v>1549</v>
      </c>
      <c r="D378" s="13" t="s">
        <v>732</v>
      </c>
      <c r="E378" s="13" t="s">
        <v>733</v>
      </c>
      <c r="F378" s="49"/>
    </row>
    <row r="379" spans="1:6">
      <c r="A379" s="117" t="s">
        <v>331</v>
      </c>
      <c r="B379" s="117" t="s">
        <v>1550</v>
      </c>
      <c r="C379" s="118" t="s">
        <v>1551</v>
      </c>
      <c r="D379" s="13" t="s">
        <v>732</v>
      </c>
      <c r="E379" s="13" t="s">
        <v>733</v>
      </c>
      <c r="F379" s="49"/>
    </row>
    <row r="380" spans="1:6">
      <c r="A380" s="117" t="s">
        <v>331</v>
      </c>
      <c r="B380" s="117" t="s">
        <v>1552</v>
      </c>
      <c r="C380" s="118" t="s">
        <v>1553</v>
      </c>
      <c r="D380" s="13" t="s">
        <v>1052</v>
      </c>
      <c r="E380" s="13" t="s">
        <v>733</v>
      </c>
      <c r="F380" s="49"/>
    </row>
    <row r="381" spans="1:6">
      <c r="A381" s="117" t="s">
        <v>331</v>
      </c>
      <c r="B381" s="117" t="s">
        <v>1554</v>
      </c>
      <c r="C381" s="118" t="s">
        <v>1555</v>
      </c>
      <c r="D381" s="13" t="s">
        <v>732</v>
      </c>
      <c r="E381" s="13" t="s">
        <v>733</v>
      </c>
      <c r="F381" s="49"/>
    </row>
    <row r="382" spans="1:6">
      <c r="A382" s="117" t="s">
        <v>331</v>
      </c>
      <c r="B382" s="117" t="s">
        <v>1556</v>
      </c>
      <c r="C382" s="118" t="s">
        <v>1557</v>
      </c>
      <c r="D382" s="13" t="s">
        <v>1052</v>
      </c>
      <c r="E382" s="13" t="s">
        <v>733</v>
      </c>
      <c r="F382" s="49"/>
    </row>
    <row r="383" spans="1:6">
      <c r="A383" s="117" t="s">
        <v>331</v>
      </c>
      <c r="B383" s="117" t="s">
        <v>1558</v>
      </c>
      <c r="C383" s="118" t="s">
        <v>1559</v>
      </c>
      <c r="D383" s="13" t="s">
        <v>1052</v>
      </c>
      <c r="E383" s="13" t="s">
        <v>733</v>
      </c>
      <c r="F383" s="49"/>
    </row>
    <row r="384" spans="1:6">
      <c r="A384" s="117" t="s">
        <v>331</v>
      </c>
      <c r="B384" s="117" t="s">
        <v>1560</v>
      </c>
      <c r="C384" s="118" t="s">
        <v>1561</v>
      </c>
      <c r="D384" s="13" t="s">
        <v>1052</v>
      </c>
      <c r="E384" s="13" t="s">
        <v>733</v>
      </c>
      <c r="F384" s="49"/>
    </row>
    <row r="385" spans="1:6">
      <c r="A385" s="117" t="s">
        <v>331</v>
      </c>
      <c r="B385" s="117" t="s">
        <v>1562</v>
      </c>
      <c r="C385" s="118" t="s">
        <v>1563</v>
      </c>
      <c r="D385" s="13" t="s">
        <v>732</v>
      </c>
      <c r="E385" s="13" t="s">
        <v>733</v>
      </c>
      <c r="F385" s="49"/>
    </row>
    <row r="386" spans="1:6">
      <c r="A386" s="117" t="s">
        <v>331</v>
      </c>
      <c r="B386" s="117" t="s">
        <v>1564</v>
      </c>
      <c r="C386" s="118" t="s">
        <v>1565</v>
      </c>
      <c r="D386" s="13" t="s">
        <v>732</v>
      </c>
      <c r="E386" s="13" t="s">
        <v>733</v>
      </c>
      <c r="F386" s="49"/>
    </row>
    <row r="387" spans="1:6">
      <c r="A387" s="117" t="s">
        <v>331</v>
      </c>
      <c r="B387" s="117" t="s">
        <v>1566</v>
      </c>
      <c r="C387" s="118" t="s">
        <v>1567</v>
      </c>
      <c r="D387" s="13" t="s">
        <v>732</v>
      </c>
      <c r="E387" s="13" t="s">
        <v>733</v>
      </c>
      <c r="F387" s="49"/>
    </row>
    <row r="388" spans="1:6">
      <c r="A388" s="117" t="s">
        <v>331</v>
      </c>
      <c r="B388" s="117" t="s">
        <v>1568</v>
      </c>
      <c r="C388" s="118" t="s">
        <v>1569</v>
      </c>
      <c r="D388" s="13" t="s">
        <v>1052</v>
      </c>
      <c r="E388" s="13" t="s">
        <v>726</v>
      </c>
      <c r="F388" s="49"/>
    </row>
    <row r="389" spans="1:6">
      <c r="A389" s="117" t="s">
        <v>331</v>
      </c>
      <c r="B389" s="117" t="s">
        <v>1570</v>
      </c>
      <c r="C389" s="118" t="s">
        <v>1571</v>
      </c>
      <c r="D389" s="13" t="s">
        <v>1052</v>
      </c>
      <c r="E389" s="13" t="s">
        <v>726</v>
      </c>
      <c r="F389" s="49"/>
    </row>
    <row r="390" spans="1:6">
      <c r="A390" s="117" t="s">
        <v>331</v>
      </c>
      <c r="B390" s="117" t="s">
        <v>1572</v>
      </c>
      <c r="C390" s="118" t="s">
        <v>1573</v>
      </c>
      <c r="D390" s="13" t="s">
        <v>732</v>
      </c>
      <c r="E390" s="13" t="s">
        <v>733</v>
      </c>
      <c r="F390" s="49"/>
    </row>
    <row r="391" spans="1:6">
      <c r="A391" s="117" t="s">
        <v>331</v>
      </c>
      <c r="B391" s="117" t="s">
        <v>1574</v>
      </c>
      <c r="C391" s="118" t="s">
        <v>1575</v>
      </c>
      <c r="D391" s="13" t="s">
        <v>308</v>
      </c>
      <c r="E391" s="13" t="s">
        <v>726</v>
      </c>
      <c r="F391" s="49"/>
    </row>
    <row r="392" spans="1:6">
      <c r="A392" s="117" t="s">
        <v>331</v>
      </c>
      <c r="B392" s="117" t="s">
        <v>1576</v>
      </c>
      <c r="C392" s="118" t="s">
        <v>1577</v>
      </c>
      <c r="D392" s="13" t="s">
        <v>308</v>
      </c>
      <c r="E392" s="13" t="s">
        <v>726</v>
      </c>
      <c r="F392" s="49"/>
    </row>
    <row r="393" spans="1:6">
      <c r="A393" s="117" t="s">
        <v>331</v>
      </c>
      <c r="B393" s="117" t="s">
        <v>1578</v>
      </c>
      <c r="C393" s="118" t="s">
        <v>1579</v>
      </c>
      <c r="D393" s="13" t="s">
        <v>1052</v>
      </c>
      <c r="E393" s="13" t="s">
        <v>733</v>
      </c>
      <c r="F393" s="49"/>
    </row>
    <row r="394" spans="1:6">
      <c r="A394" s="117" t="s">
        <v>331</v>
      </c>
      <c r="B394" s="117" t="s">
        <v>1580</v>
      </c>
      <c r="C394" s="118" t="s">
        <v>1581</v>
      </c>
      <c r="D394" s="13" t="s">
        <v>1052</v>
      </c>
      <c r="E394" s="13" t="s">
        <v>733</v>
      </c>
      <c r="F394" s="49"/>
    </row>
    <row r="395" spans="1:6">
      <c r="A395" s="117" t="s">
        <v>331</v>
      </c>
      <c r="B395" s="117" t="s">
        <v>1582</v>
      </c>
      <c r="C395" s="118" t="s">
        <v>1583</v>
      </c>
      <c r="D395" s="13" t="s">
        <v>308</v>
      </c>
      <c r="E395" s="13" t="s">
        <v>726</v>
      </c>
      <c r="F395" s="49"/>
    </row>
    <row r="396" spans="1:6">
      <c r="A396" s="117" t="s">
        <v>331</v>
      </c>
      <c r="B396" s="117" t="s">
        <v>1584</v>
      </c>
      <c r="C396" s="118" t="s">
        <v>1585</v>
      </c>
      <c r="D396" s="13" t="s">
        <v>1052</v>
      </c>
      <c r="E396" s="13" t="s">
        <v>733</v>
      </c>
      <c r="F396" s="49"/>
    </row>
    <row r="397" spans="1:6">
      <c r="A397" s="117" t="s">
        <v>331</v>
      </c>
      <c r="B397" s="117" t="s">
        <v>1586</v>
      </c>
      <c r="C397" s="118" t="s">
        <v>1587</v>
      </c>
      <c r="D397" s="13" t="s">
        <v>1052</v>
      </c>
      <c r="E397" s="13" t="s">
        <v>733</v>
      </c>
      <c r="F397" s="49"/>
    </row>
    <row r="398" spans="1:6">
      <c r="A398" s="117" t="s">
        <v>331</v>
      </c>
      <c r="B398" s="117" t="s">
        <v>1588</v>
      </c>
      <c r="C398" s="118" t="s">
        <v>1589</v>
      </c>
      <c r="D398" s="13" t="s">
        <v>308</v>
      </c>
      <c r="E398" s="13" t="s">
        <v>726</v>
      </c>
      <c r="F398" s="49"/>
    </row>
    <row r="399" spans="1:6">
      <c r="A399" s="117" t="s">
        <v>331</v>
      </c>
      <c r="B399" s="117" t="s">
        <v>1590</v>
      </c>
      <c r="C399" s="118" t="s">
        <v>1591</v>
      </c>
      <c r="D399" s="13" t="s">
        <v>1052</v>
      </c>
      <c r="E399" s="13" t="s">
        <v>733</v>
      </c>
      <c r="F399" s="49"/>
    </row>
    <row r="400" spans="1:6">
      <c r="A400" s="117" t="s">
        <v>331</v>
      </c>
      <c r="B400" s="117" t="s">
        <v>1592</v>
      </c>
      <c r="C400" s="118" t="s">
        <v>1593</v>
      </c>
      <c r="D400" s="13" t="s">
        <v>308</v>
      </c>
      <c r="E400" s="13" t="s">
        <v>726</v>
      </c>
      <c r="F400" s="49"/>
    </row>
    <row r="401" spans="1:6">
      <c r="A401" s="117" t="s">
        <v>331</v>
      </c>
      <c r="B401" s="117" t="s">
        <v>1594</v>
      </c>
      <c r="C401" s="118" t="s">
        <v>1595</v>
      </c>
      <c r="D401" s="13" t="s">
        <v>308</v>
      </c>
      <c r="E401" s="13" t="s">
        <v>733</v>
      </c>
      <c r="F401" s="49"/>
    </row>
    <row r="402" spans="1:6">
      <c r="A402" s="117" t="s">
        <v>331</v>
      </c>
      <c r="B402" s="117" t="s">
        <v>1596</v>
      </c>
      <c r="C402" s="118" t="s">
        <v>1597</v>
      </c>
      <c r="D402" s="13" t="s">
        <v>308</v>
      </c>
      <c r="E402" s="13" t="s">
        <v>733</v>
      </c>
      <c r="F402" s="49"/>
    </row>
    <row r="403" spans="1:6">
      <c r="A403" s="117" t="s">
        <v>331</v>
      </c>
      <c r="B403" s="117" t="s">
        <v>1598</v>
      </c>
      <c r="C403" s="118" t="s">
        <v>1599</v>
      </c>
      <c r="D403" s="13" t="s">
        <v>308</v>
      </c>
      <c r="E403" s="13" t="s">
        <v>733</v>
      </c>
      <c r="F403" s="49"/>
    </row>
    <row r="404" spans="1:6">
      <c r="A404" s="117" t="s">
        <v>331</v>
      </c>
      <c r="B404" s="117" t="s">
        <v>1600</v>
      </c>
      <c r="C404" s="118" t="s">
        <v>1601</v>
      </c>
      <c r="D404" s="13" t="s">
        <v>308</v>
      </c>
      <c r="E404" s="13" t="s">
        <v>733</v>
      </c>
      <c r="F404" s="49"/>
    </row>
    <row r="405" spans="1:6">
      <c r="A405" s="117"/>
      <c r="B405" s="117"/>
      <c r="C405" s="118"/>
      <c r="D405" s="49"/>
      <c r="E405" s="49"/>
      <c r="F405" s="49"/>
    </row>
    <row r="406" spans="1:6">
      <c r="A406" s="117"/>
      <c r="B406" s="117"/>
      <c r="C406" s="118"/>
      <c r="D406" s="49"/>
      <c r="E406" s="49"/>
      <c r="F406" s="49"/>
    </row>
    <row r="407" spans="1:6">
      <c r="A407" s="117"/>
      <c r="B407" s="117"/>
      <c r="C407" s="118"/>
      <c r="D407" s="49"/>
      <c r="E407" s="49"/>
      <c r="F407" s="49"/>
    </row>
    <row r="408" spans="1:6">
      <c r="A408" s="117" t="s">
        <v>350</v>
      </c>
      <c r="B408" s="117" t="s">
        <v>1602</v>
      </c>
      <c r="C408" s="118" t="s">
        <v>1603</v>
      </c>
      <c r="D408" s="13" t="s">
        <v>732</v>
      </c>
      <c r="E408" s="13" t="s">
        <v>733</v>
      </c>
      <c r="F408" s="49"/>
    </row>
    <row r="409" spans="1:6">
      <c r="A409" s="117" t="s">
        <v>350</v>
      </c>
      <c r="B409" s="117" t="s">
        <v>1604</v>
      </c>
      <c r="C409" s="118" t="s">
        <v>1605</v>
      </c>
      <c r="D409" s="13" t="s">
        <v>732</v>
      </c>
      <c r="E409" s="13" t="s">
        <v>726</v>
      </c>
      <c r="F409" s="49"/>
    </row>
    <row r="410" spans="1:6">
      <c r="A410" s="117" t="s">
        <v>350</v>
      </c>
      <c r="B410" s="117" t="s">
        <v>1606</v>
      </c>
      <c r="C410" s="118" t="s">
        <v>1607</v>
      </c>
      <c r="D410" s="13" t="s">
        <v>732</v>
      </c>
      <c r="E410" s="13" t="s">
        <v>733</v>
      </c>
      <c r="F410" s="49"/>
    </row>
    <row r="411" spans="1:6">
      <c r="A411" s="117" t="s">
        <v>350</v>
      </c>
      <c r="B411" s="117" t="s">
        <v>1608</v>
      </c>
      <c r="C411" s="118" t="s">
        <v>1609</v>
      </c>
      <c r="D411" s="13" t="s">
        <v>732</v>
      </c>
      <c r="E411" s="13" t="s">
        <v>726</v>
      </c>
      <c r="F411" s="49"/>
    </row>
    <row r="412" spans="1:6">
      <c r="A412" s="117" t="s">
        <v>350</v>
      </c>
      <c r="B412" s="117" t="s">
        <v>1610</v>
      </c>
      <c r="C412" s="118" t="s">
        <v>1611</v>
      </c>
      <c r="D412" s="13" t="s">
        <v>732</v>
      </c>
      <c r="E412" s="13" t="s">
        <v>733</v>
      </c>
      <c r="F412" s="49"/>
    </row>
    <row r="413" spans="1:6">
      <c r="A413" s="117" t="s">
        <v>350</v>
      </c>
      <c r="B413" s="117" t="s">
        <v>1612</v>
      </c>
      <c r="C413" s="118" t="s">
        <v>1613</v>
      </c>
      <c r="D413" s="13" t="s">
        <v>732</v>
      </c>
      <c r="E413" s="13" t="s">
        <v>726</v>
      </c>
      <c r="F413" s="49"/>
    </row>
    <row r="414" spans="1:6">
      <c r="A414" s="117" t="s">
        <v>350</v>
      </c>
      <c r="B414" s="117" t="s">
        <v>1614</v>
      </c>
      <c r="C414" s="118" t="s">
        <v>1615</v>
      </c>
      <c r="D414" s="13" t="s">
        <v>732</v>
      </c>
      <c r="E414" s="13" t="s">
        <v>733</v>
      </c>
      <c r="F414" s="49"/>
    </row>
    <row r="415" spans="1:6">
      <c r="A415" s="117" t="s">
        <v>350</v>
      </c>
      <c r="B415" s="117" t="s">
        <v>1616</v>
      </c>
      <c r="C415" s="118" t="s">
        <v>1617</v>
      </c>
      <c r="D415" s="13" t="s">
        <v>732</v>
      </c>
      <c r="E415" s="13" t="s">
        <v>733</v>
      </c>
      <c r="F415" s="49"/>
    </row>
    <row r="416" spans="1:6">
      <c r="A416" s="117" t="s">
        <v>350</v>
      </c>
      <c r="B416" s="117" t="s">
        <v>1618</v>
      </c>
      <c r="C416" s="118" t="s">
        <v>1619</v>
      </c>
      <c r="D416" s="13" t="s">
        <v>732</v>
      </c>
      <c r="E416" s="13" t="s">
        <v>733</v>
      </c>
      <c r="F416" s="49"/>
    </row>
    <row r="417" spans="1:6">
      <c r="A417" s="117" t="s">
        <v>350</v>
      </c>
      <c r="B417" s="117" t="s">
        <v>1620</v>
      </c>
      <c r="C417" s="118" t="s">
        <v>1621</v>
      </c>
      <c r="D417" s="13" t="s">
        <v>732</v>
      </c>
      <c r="E417" s="13" t="s">
        <v>733</v>
      </c>
      <c r="F417" s="49"/>
    </row>
    <row r="418" spans="1:6">
      <c r="A418" s="117" t="s">
        <v>350</v>
      </c>
      <c r="B418" s="117"/>
      <c r="C418" s="118" t="s">
        <v>1611</v>
      </c>
      <c r="D418" s="13" t="s">
        <v>1052</v>
      </c>
      <c r="E418" s="13" t="s">
        <v>726</v>
      </c>
      <c r="F418" s="49"/>
    </row>
    <row r="419" spans="1:6">
      <c r="A419" s="117" t="s">
        <v>350</v>
      </c>
      <c r="B419" s="117" t="s">
        <v>1622</v>
      </c>
      <c r="C419" s="118" t="s">
        <v>1623</v>
      </c>
      <c r="D419" s="13" t="s">
        <v>308</v>
      </c>
      <c r="E419" s="13" t="s">
        <v>726</v>
      </c>
      <c r="F419" s="49"/>
    </row>
    <row r="420" spans="1:6">
      <c r="A420" s="117" t="s">
        <v>350</v>
      </c>
      <c r="B420" s="117" t="s">
        <v>921</v>
      </c>
      <c r="C420" s="118" t="s">
        <v>922</v>
      </c>
      <c r="D420" s="13" t="s">
        <v>732</v>
      </c>
      <c r="E420" s="13" t="s">
        <v>726</v>
      </c>
      <c r="F420" s="49"/>
    </row>
    <row r="421" spans="1:6">
      <c r="A421" s="117" t="s">
        <v>350</v>
      </c>
      <c r="B421" s="117" t="s">
        <v>924</v>
      </c>
      <c r="C421" s="118" t="s">
        <v>925</v>
      </c>
      <c r="D421" s="13" t="s">
        <v>732</v>
      </c>
      <c r="E421" s="13" t="s">
        <v>733</v>
      </c>
      <c r="F421" s="49"/>
    </row>
    <row r="422" spans="1:6">
      <c r="A422" s="117" t="s">
        <v>350</v>
      </c>
      <c r="B422" s="117" t="s">
        <v>927</v>
      </c>
      <c r="C422" s="118" t="s">
        <v>928</v>
      </c>
      <c r="D422" s="13" t="s">
        <v>732</v>
      </c>
      <c r="E422" s="13" t="s">
        <v>733</v>
      </c>
      <c r="F422" s="49"/>
    </row>
    <row r="423" spans="1:6">
      <c r="A423" s="117" t="s">
        <v>350</v>
      </c>
      <c r="B423" s="117" t="s">
        <v>929</v>
      </c>
      <c r="C423" s="118" t="s">
        <v>930</v>
      </c>
      <c r="D423" s="13" t="s">
        <v>732</v>
      </c>
      <c r="E423" s="13" t="s">
        <v>733</v>
      </c>
      <c r="F423" s="49"/>
    </row>
    <row r="424" spans="1:6">
      <c r="A424" s="117" t="s">
        <v>350</v>
      </c>
      <c r="B424" s="117" t="s">
        <v>1624</v>
      </c>
      <c r="C424" s="118" t="s">
        <v>1625</v>
      </c>
      <c r="D424" s="13" t="s">
        <v>1052</v>
      </c>
      <c r="E424" s="13" t="s">
        <v>733</v>
      </c>
      <c r="F424" s="49"/>
    </row>
    <row r="425" spans="1:6">
      <c r="A425" s="117" t="s">
        <v>350</v>
      </c>
      <c r="B425" s="117" t="s">
        <v>932</v>
      </c>
      <c r="C425" s="118" t="s">
        <v>933</v>
      </c>
      <c r="D425" s="13" t="s">
        <v>732</v>
      </c>
      <c r="E425" s="13" t="s">
        <v>733</v>
      </c>
      <c r="F425" s="49"/>
    </row>
    <row r="426" spans="1:6">
      <c r="A426" s="117" t="s">
        <v>350</v>
      </c>
      <c r="B426" s="117" t="s">
        <v>934</v>
      </c>
      <c r="C426" s="118" t="s">
        <v>935</v>
      </c>
      <c r="D426" s="13" t="s">
        <v>732</v>
      </c>
      <c r="E426" s="13" t="s">
        <v>733</v>
      </c>
      <c r="F426" s="49"/>
    </row>
    <row r="427" spans="1:6">
      <c r="A427" s="117" t="s">
        <v>350</v>
      </c>
      <c r="B427" s="117" t="s">
        <v>937</v>
      </c>
      <c r="C427" s="118" t="s">
        <v>938</v>
      </c>
      <c r="D427" s="13" t="s">
        <v>732</v>
      </c>
      <c r="E427" s="13" t="s">
        <v>726</v>
      </c>
      <c r="F427" s="49"/>
    </row>
    <row r="428" spans="1:6">
      <c r="A428" s="117" t="s">
        <v>350</v>
      </c>
      <c r="B428" s="117" t="s">
        <v>939</v>
      </c>
      <c r="C428" s="118" t="s">
        <v>940</v>
      </c>
      <c r="D428" s="13" t="s">
        <v>732</v>
      </c>
      <c r="E428" s="13" t="s">
        <v>726</v>
      </c>
      <c r="F428" s="49"/>
    </row>
    <row r="429" spans="1:6">
      <c r="A429" s="117" t="s">
        <v>350</v>
      </c>
      <c r="B429" s="117" t="s">
        <v>942</v>
      </c>
      <c r="C429" s="118" t="s">
        <v>943</v>
      </c>
      <c r="D429" s="13" t="s">
        <v>732</v>
      </c>
      <c r="E429" s="13" t="s">
        <v>726</v>
      </c>
      <c r="F429" s="49"/>
    </row>
    <row r="430" spans="1:6">
      <c r="A430" s="117" t="s">
        <v>350</v>
      </c>
      <c r="B430" s="117" t="s">
        <v>1626</v>
      </c>
      <c r="C430" s="118" t="s">
        <v>1627</v>
      </c>
      <c r="D430" s="13" t="s">
        <v>732</v>
      </c>
      <c r="E430" s="13" t="s">
        <v>733</v>
      </c>
      <c r="F430" s="49"/>
    </row>
    <row r="431" spans="1:6">
      <c r="A431" s="117" t="s">
        <v>350</v>
      </c>
      <c r="B431" s="117" t="s">
        <v>1628</v>
      </c>
      <c r="C431" s="118" t="s">
        <v>1629</v>
      </c>
      <c r="D431" s="13" t="s">
        <v>732</v>
      </c>
      <c r="E431" s="13" t="s">
        <v>726</v>
      </c>
      <c r="F431" s="49"/>
    </row>
    <row r="432" spans="1:6">
      <c r="A432" s="117" t="s">
        <v>350</v>
      </c>
      <c r="B432" s="117" t="s">
        <v>1630</v>
      </c>
      <c r="C432" s="118" t="s">
        <v>1631</v>
      </c>
      <c r="D432" s="13" t="s">
        <v>732</v>
      </c>
      <c r="E432" s="13" t="s">
        <v>726</v>
      </c>
      <c r="F432" s="49"/>
    </row>
    <row r="433" spans="1:6">
      <c r="A433" s="117" t="s">
        <v>350</v>
      </c>
      <c r="B433" s="117" t="s">
        <v>1632</v>
      </c>
      <c r="C433" s="118" t="s">
        <v>1633</v>
      </c>
      <c r="D433" s="13" t="s">
        <v>732</v>
      </c>
      <c r="E433" s="13" t="s">
        <v>726</v>
      </c>
      <c r="F433" s="49"/>
    </row>
    <row r="434" spans="1:6">
      <c r="A434" s="117" t="s">
        <v>350</v>
      </c>
      <c r="B434" s="117" t="s">
        <v>1634</v>
      </c>
      <c r="C434" s="118" t="s">
        <v>1635</v>
      </c>
      <c r="D434" s="13" t="s">
        <v>732</v>
      </c>
      <c r="E434" s="13" t="s">
        <v>726</v>
      </c>
      <c r="F434" s="49"/>
    </row>
    <row r="435" spans="1:6">
      <c r="A435" s="117" t="s">
        <v>350</v>
      </c>
      <c r="B435" s="117" t="s">
        <v>1636</v>
      </c>
      <c r="C435" s="118" t="s">
        <v>1637</v>
      </c>
      <c r="D435" s="13" t="s">
        <v>732</v>
      </c>
      <c r="E435" s="13" t="s">
        <v>733</v>
      </c>
      <c r="F435" s="49"/>
    </row>
    <row r="436" spans="1:6">
      <c r="A436" s="117" t="s">
        <v>350</v>
      </c>
      <c r="B436" s="117" t="s">
        <v>945</v>
      </c>
      <c r="C436" s="118" t="s">
        <v>946</v>
      </c>
      <c r="D436" s="13" t="s">
        <v>732</v>
      </c>
      <c r="E436" s="13" t="s">
        <v>733</v>
      </c>
      <c r="F436" s="49"/>
    </row>
    <row r="437" spans="1:6">
      <c r="A437" s="117" t="s">
        <v>350</v>
      </c>
      <c r="B437" s="117" t="s">
        <v>948</v>
      </c>
      <c r="C437" s="118" t="s">
        <v>949</v>
      </c>
      <c r="D437" s="13" t="s">
        <v>732</v>
      </c>
      <c r="E437" s="13" t="s">
        <v>733</v>
      </c>
      <c r="F437" s="49"/>
    </row>
    <row r="438" spans="1:6">
      <c r="A438" s="117" t="s">
        <v>350</v>
      </c>
      <c r="B438" s="117" t="s">
        <v>951</v>
      </c>
      <c r="C438" s="118" t="s">
        <v>952</v>
      </c>
      <c r="D438" s="13" t="s">
        <v>732</v>
      </c>
      <c r="E438" s="13" t="s">
        <v>726</v>
      </c>
      <c r="F438" s="49"/>
    </row>
    <row r="439" spans="1:6">
      <c r="A439" s="117" t="s">
        <v>350</v>
      </c>
      <c r="B439" s="117" t="s">
        <v>953</v>
      </c>
      <c r="C439" s="118" t="s">
        <v>954</v>
      </c>
      <c r="D439" s="13" t="s">
        <v>732</v>
      </c>
      <c r="E439" s="13" t="s">
        <v>733</v>
      </c>
      <c r="F439" s="49"/>
    </row>
    <row r="440" spans="1:6">
      <c r="A440" s="117" t="s">
        <v>350</v>
      </c>
      <c r="B440" s="117" t="s">
        <v>1638</v>
      </c>
      <c r="C440" s="118" t="s">
        <v>1639</v>
      </c>
      <c r="D440" s="13" t="s">
        <v>1052</v>
      </c>
      <c r="E440" s="13" t="s">
        <v>726</v>
      </c>
      <c r="F440" s="49"/>
    </row>
    <row r="441" spans="1:6">
      <c r="A441" s="117" t="s">
        <v>350</v>
      </c>
      <c r="B441" s="117" t="s">
        <v>1640</v>
      </c>
      <c r="C441" s="118" t="s">
        <v>1641</v>
      </c>
      <c r="D441" s="13" t="s">
        <v>1052</v>
      </c>
      <c r="E441" s="13" t="s">
        <v>726</v>
      </c>
      <c r="F441" s="49"/>
    </row>
    <row r="442" spans="1:6">
      <c r="A442" s="117" t="s">
        <v>350</v>
      </c>
      <c r="B442" s="117" t="s">
        <v>1642</v>
      </c>
      <c r="C442" s="118" t="s">
        <v>1643</v>
      </c>
      <c r="D442" s="13" t="s">
        <v>1052</v>
      </c>
      <c r="E442" s="13" t="s">
        <v>726</v>
      </c>
      <c r="F442" s="49"/>
    </row>
    <row r="443" spans="1:6">
      <c r="A443" s="117" t="s">
        <v>350</v>
      </c>
      <c r="B443" s="117" t="s">
        <v>1644</v>
      </c>
      <c r="C443" s="118" t="s">
        <v>1645</v>
      </c>
      <c r="D443" s="13" t="s">
        <v>1052</v>
      </c>
      <c r="E443" s="13" t="s">
        <v>726</v>
      </c>
      <c r="F443" s="49"/>
    </row>
    <row r="444" spans="1:6">
      <c r="A444" s="117" t="s">
        <v>350</v>
      </c>
      <c r="B444" s="117" t="s">
        <v>1646</v>
      </c>
      <c r="C444" s="118" t="s">
        <v>1647</v>
      </c>
      <c r="D444" s="13" t="s">
        <v>732</v>
      </c>
      <c r="E444" s="13" t="s">
        <v>733</v>
      </c>
      <c r="F444" s="49"/>
    </row>
    <row r="445" spans="1:6">
      <c r="A445" s="117" t="s">
        <v>350</v>
      </c>
      <c r="B445" s="117" t="s">
        <v>1648</v>
      </c>
      <c r="C445" s="118" t="s">
        <v>1649</v>
      </c>
      <c r="D445" s="13" t="s">
        <v>732</v>
      </c>
      <c r="E445" s="13" t="s">
        <v>733</v>
      </c>
      <c r="F445" s="49"/>
    </row>
    <row r="446" spans="1:6">
      <c r="A446" s="117" t="s">
        <v>350</v>
      </c>
      <c r="B446" s="117" t="s">
        <v>955</v>
      </c>
      <c r="C446" s="118" t="s">
        <v>956</v>
      </c>
      <c r="D446" s="13" t="s">
        <v>732</v>
      </c>
      <c r="E446" s="13" t="s">
        <v>733</v>
      </c>
      <c r="F446" s="49"/>
    </row>
    <row r="447" spans="1:6">
      <c r="A447" s="117" t="s">
        <v>350</v>
      </c>
      <c r="B447" s="117" t="s">
        <v>958</v>
      </c>
      <c r="C447" s="118" t="s">
        <v>959</v>
      </c>
      <c r="D447" s="13" t="s">
        <v>732</v>
      </c>
      <c r="E447" s="13" t="s">
        <v>733</v>
      </c>
      <c r="F447" s="49"/>
    </row>
    <row r="448" spans="1:6">
      <c r="A448" s="117" t="s">
        <v>350</v>
      </c>
      <c r="B448" s="117" t="s">
        <v>1650</v>
      </c>
      <c r="C448" s="118" t="s">
        <v>1651</v>
      </c>
      <c r="D448" s="13" t="s">
        <v>732</v>
      </c>
      <c r="E448" s="13" t="s">
        <v>733</v>
      </c>
      <c r="F448" s="49"/>
    </row>
    <row r="449" spans="1:6">
      <c r="A449" s="117" t="s">
        <v>350</v>
      </c>
      <c r="B449" s="117" t="s">
        <v>961</v>
      </c>
      <c r="C449" s="118" t="s">
        <v>962</v>
      </c>
      <c r="D449" s="13" t="s">
        <v>732</v>
      </c>
      <c r="E449" s="13" t="s">
        <v>733</v>
      </c>
      <c r="F449" s="49"/>
    </row>
    <row r="450" spans="1:6">
      <c r="A450" s="117" t="s">
        <v>350</v>
      </c>
      <c r="B450" s="117" t="s">
        <v>1652</v>
      </c>
      <c r="C450" s="118" t="s">
        <v>1653</v>
      </c>
      <c r="D450" s="13" t="s">
        <v>732</v>
      </c>
      <c r="E450" s="13" t="s">
        <v>733</v>
      </c>
      <c r="F450" s="49"/>
    </row>
    <row r="451" spans="1:6">
      <c r="A451" s="117" t="s">
        <v>350</v>
      </c>
      <c r="B451" s="117" t="s">
        <v>1654</v>
      </c>
      <c r="C451" s="118" t="s">
        <v>1655</v>
      </c>
      <c r="D451" s="13" t="s">
        <v>732</v>
      </c>
      <c r="E451" s="13" t="s">
        <v>733</v>
      </c>
      <c r="F451" s="49"/>
    </row>
    <row r="452" spans="1:6">
      <c r="A452" s="117" t="s">
        <v>350</v>
      </c>
      <c r="B452" s="117" t="s">
        <v>1656</v>
      </c>
      <c r="C452" s="118" t="s">
        <v>1657</v>
      </c>
      <c r="D452" s="13" t="s">
        <v>308</v>
      </c>
      <c r="E452" s="13" t="s">
        <v>726</v>
      </c>
      <c r="F452" s="49"/>
    </row>
    <row r="453" spans="1:6">
      <c r="A453" s="117" t="s">
        <v>350</v>
      </c>
      <c r="B453" s="117" t="s">
        <v>1658</v>
      </c>
      <c r="C453" s="118" t="s">
        <v>1659</v>
      </c>
      <c r="D453" s="13" t="s">
        <v>732</v>
      </c>
      <c r="E453" s="13" t="s">
        <v>733</v>
      </c>
      <c r="F453" s="49"/>
    </row>
    <row r="454" spans="1:6">
      <c r="A454" s="117" t="s">
        <v>350</v>
      </c>
      <c r="B454" s="117" t="s">
        <v>1660</v>
      </c>
      <c r="C454" s="118" t="s">
        <v>1661</v>
      </c>
      <c r="D454" s="13" t="s">
        <v>732</v>
      </c>
      <c r="E454" s="13" t="s">
        <v>733</v>
      </c>
      <c r="F454" s="49"/>
    </row>
    <row r="455" spans="1:6">
      <c r="A455" s="117" t="s">
        <v>350</v>
      </c>
      <c r="B455" s="117" t="s">
        <v>1662</v>
      </c>
      <c r="C455" s="118" t="s">
        <v>1663</v>
      </c>
      <c r="D455" s="13" t="s">
        <v>732</v>
      </c>
      <c r="E455" s="13" t="s">
        <v>733</v>
      </c>
      <c r="F455" s="49"/>
    </row>
    <row r="456" spans="1:6">
      <c r="A456" s="117" t="s">
        <v>350</v>
      </c>
      <c r="B456" s="117" t="s">
        <v>1664</v>
      </c>
      <c r="C456" s="118" t="s">
        <v>1665</v>
      </c>
      <c r="D456" s="13" t="s">
        <v>732</v>
      </c>
      <c r="E456" s="13" t="s">
        <v>733</v>
      </c>
      <c r="F456" s="49"/>
    </row>
    <row r="457" spans="1:6">
      <c r="A457" s="117" t="s">
        <v>350</v>
      </c>
      <c r="B457" s="117" t="s">
        <v>1666</v>
      </c>
      <c r="C457" s="118" t="s">
        <v>1667</v>
      </c>
      <c r="D457" s="13" t="s">
        <v>732</v>
      </c>
      <c r="E457" s="13" t="s">
        <v>733</v>
      </c>
      <c r="F457" s="49"/>
    </row>
    <row r="458" spans="1:6">
      <c r="A458" s="117" t="s">
        <v>350</v>
      </c>
      <c r="B458" s="117" t="s">
        <v>1668</v>
      </c>
      <c r="C458" s="118" t="s">
        <v>1669</v>
      </c>
      <c r="D458" s="13" t="s">
        <v>732</v>
      </c>
      <c r="E458" s="13" t="s">
        <v>726</v>
      </c>
      <c r="F458" s="49"/>
    </row>
    <row r="459" spans="1:6">
      <c r="A459" s="117" t="s">
        <v>350</v>
      </c>
      <c r="B459" s="117" t="s">
        <v>1670</v>
      </c>
      <c r="C459" s="118" t="s">
        <v>1671</v>
      </c>
      <c r="D459" s="13" t="s">
        <v>308</v>
      </c>
      <c r="E459" s="13" t="s">
        <v>726</v>
      </c>
      <c r="F459" s="49"/>
    </row>
    <row r="460" spans="1:6">
      <c r="A460" s="117" t="s">
        <v>350</v>
      </c>
      <c r="B460" s="117" t="s">
        <v>1672</v>
      </c>
      <c r="C460" s="118" t="s">
        <v>1673</v>
      </c>
      <c r="D460" s="13" t="s">
        <v>308</v>
      </c>
      <c r="E460" s="13" t="s">
        <v>726</v>
      </c>
      <c r="F460" s="49"/>
    </row>
    <row r="461" spans="1:6">
      <c r="A461" s="117" t="s">
        <v>350</v>
      </c>
      <c r="B461" s="117" t="s">
        <v>1674</v>
      </c>
      <c r="C461" s="118" t="s">
        <v>1675</v>
      </c>
      <c r="D461" s="13" t="s">
        <v>308</v>
      </c>
      <c r="E461" s="13" t="s">
        <v>726</v>
      </c>
      <c r="F461" s="49"/>
    </row>
    <row r="462" spans="1:6">
      <c r="A462" s="117" t="s">
        <v>350</v>
      </c>
      <c r="B462" s="117" t="s">
        <v>1676</v>
      </c>
      <c r="C462" s="118" t="s">
        <v>1677</v>
      </c>
      <c r="D462" s="13" t="s">
        <v>308</v>
      </c>
      <c r="E462" s="13" t="s">
        <v>726</v>
      </c>
      <c r="F462" s="49"/>
    </row>
    <row r="463" spans="1:6">
      <c r="A463" s="117" t="s">
        <v>350</v>
      </c>
      <c r="B463" s="117" t="s">
        <v>1678</v>
      </c>
      <c r="C463" s="118" t="s">
        <v>1679</v>
      </c>
      <c r="D463" s="13" t="s">
        <v>308</v>
      </c>
      <c r="E463" s="13" t="s">
        <v>726</v>
      </c>
      <c r="F463" s="49"/>
    </row>
    <row r="464" spans="1:6">
      <c r="A464" s="117" t="s">
        <v>350</v>
      </c>
      <c r="B464" s="117" t="s">
        <v>1680</v>
      </c>
      <c r="C464" s="118" t="s">
        <v>1681</v>
      </c>
      <c r="D464" s="13" t="s">
        <v>308</v>
      </c>
      <c r="E464" s="13" t="s">
        <v>726</v>
      </c>
      <c r="F464" s="49"/>
    </row>
    <row r="465" spans="1:6">
      <c r="A465" s="117" t="s">
        <v>350</v>
      </c>
      <c r="B465" s="117" t="s">
        <v>1682</v>
      </c>
      <c r="C465" s="118" t="s">
        <v>1683</v>
      </c>
      <c r="D465" s="13" t="s">
        <v>308</v>
      </c>
      <c r="E465" s="13" t="s">
        <v>726</v>
      </c>
      <c r="F465" s="49"/>
    </row>
    <row r="466" spans="1:6">
      <c r="A466" s="117" t="s">
        <v>350</v>
      </c>
      <c r="B466" s="117" t="s">
        <v>1684</v>
      </c>
      <c r="C466" s="118" t="s">
        <v>1685</v>
      </c>
      <c r="D466" s="13" t="s">
        <v>308</v>
      </c>
      <c r="E466" s="13" t="s">
        <v>726</v>
      </c>
      <c r="F466" s="49"/>
    </row>
    <row r="467" spans="1:6">
      <c r="A467" s="117" t="s">
        <v>350</v>
      </c>
      <c r="B467" s="117" t="s">
        <v>1686</v>
      </c>
      <c r="C467" s="118" t="s">
        <v>1687</v>
      </c>
      <c r="D467" s="13" t="s">
        <v>308</v>
      </c>
      <c r="E467" s="13" t="s">
        <v>726</v>
      </c>
      <c r="F467" s="49"/>
    </row>
    <row r="468" spans="1:6">
      <c r="A468" s="117" t="s">
        <v>350</v>
      </c>
      <c r="B468" s="117" t="s">
        <v>1688</v>
      </c>
      <c r="C468" s="118" t="s">
        <v>1689</v>
      </c>
      <c r="D468" s="13" t="s">
        <v>1052</v>
      </c>
      <c r="E468" s="13" t="s">
        <v>726</v>
      </c>
      <c r="F468" s="49"/>
    </row>
    <row r="469" spans="1:6">
      <c r="A469" s="117" t="s">
        <v>350</v>
      </c>
      <c r="B469" s="117" t="s">
        <v>1690</v>
      </c>
      <c r="C469" s="118" t="s">
        <v>1691</v>
      </c>
      <c r="D469" s="13" t="s">
        <v>308</v>
      </c>
      <c r="E469" s="13" t="s">
        <v>726</v>
      </c>
      <c r="F469" s="49"/>
    </row>
    <row r="470" spans="1:6">
      <c r="A470" s="117" t="s">
        <v>350</v>
      </c>
      <c r="B470" s="117" t="s">
        <v>1692</v>
      </c>
      <c r="C470" s="118" t="s">
        <v>1693</v>
      </c>
      <c r="D470" s="13" t="s">
        <v>308</v>
      </c>
      <c r="E470" s="13" t="s">
        <v>726</v>
      </c>
      <c r="F470" s="49"/>
    </row>
    <row r="471" spans="1:6">
      <c r="A471" s="117" t="s">
        <v>350</v>
      </c>
      <c r="B471" s="117" t="s">
        <v>1694</v>
      </c>
      <c r="C471" s="118" t="s">
        <v>1695</v>
      </c>
      <c r="D471" s="13" t="s">
        <v>308</v>
      </c>
      <c r="E471" s="13" t="s">
        <v>726</v>
      </c>
      <c r="F471" s="49"/>
    </row>
    <row r="472" spans="1:6">
      <c r="A472" s="117" t="s">
        <v>350</v>
      </c>
      <c r="B472" s="117" t="s">
        <v>963</v>
      </c>
      <c r="C472" s="118" t="s">
        <v>964</v>
      </c>
      <c r="D472" s="13" t="s">
        <v>732</v>
      </c>
      <c r="E472" s="13" t="s">
        <v>726</v>
      </c>
      <c r="F472" s="49"/>
    </row>
    <row r="473" spans="1:6">
      <c r="A473" s="117" t="s">
        <v>350</v>
      </c>
      <c r="B473" s="117" t="s">
        <v>965</v>
      </c>
      <c r="C473" s="118" t="s">
        <v>966</v>
      </c>
      <c r="D473" s="13" t="s">
        <v>732</v>
      </c>
      <c r="E473" s="13" t="s">
        <v>726</v>
      </c>
      <c r="F473" s="49"/>
    </row>
    <row r="474" spans="1:6">
      <c r="A474" s="117" t="s">
        <v>350</v>
      </c>
      <c r="B474" s="117" t="s">
        <v>967</v>
      </c>
      <c r="C474" s="118" t="s">
        <v>968</v>
      </c>
      <c r="D474" s="13" t="s">
        <v>732</v>
      </c>
      <c r="E474" s="13" t="s">
        <v>726</v>
      </c>
      <c r="F474" s="49"/>
    </row>
    <row r="475" spans="1:6">
      <c r="A475" s="117" t="s">
        <v>350</v>
      </c>
      <c r="B475" s="117" t="s">
        <v>969</v>
      </c>
      <c r="C475" s="118" t="s">
        <v>970</v>
      </c>
      <c r="D475" s="13" t="s">
        <v>732</v>
      </c>
      <c r="E475" s="13" t="s">
        <v>726</v>
      </c>
      <c r="F475" s="49"/>
    </row>
    <row r="476" spans="1:6">
      <c r="A476" s="117" t="s">
        <v>350</v>
      </c>
      <c r="B476" s="117" t="s">
        <v>971</v>
      </c>
      <c r="C476" s="118" t="s">
        <v>972</v>
      </c>
      <c r="D476" s="13" t="s">
        <v>732</v>
      </c>
      <c r="E476" s="13" t="s">
        <v>726</v>
      </c>
      <c r="F476" s="49"/>
    </row>
    <row r="477" spans="1:6">
      <c r="A477" s="117"/>
      <c r="B477" s="117"/>
      <c r="C477" s="118"/>
      <c r="D477" s="49"/>
      <c r="E477" s="49"/>
      <c r="F477" s="49"/>
    </row>
    <row r="478" spans="1:6">
      <c r="A478" s="117"/>
      <c r="B478" s="117"/>
      <c r="C478" s="118"/>
      <c r="D478" s="49"/>
      <c r="E478" s="49"/>
      <c r="F478" s="49"/>
    </row>
    <row r="479" spans="1:6">
      <c r="A479" s="120"/>
      <c r="B479" s="120"/>
      <c r="C479" s="121"/>
      <c r="D479" s="49"/>
      <c r="E479" s="49"/>
      <c r="F479" s="49"/>
    </row>
    <row r="480" spans="1:6">
      <c r="A480" s="117" t="s">
        <v>1696</v>
      </c>
      <c r="B480" s="117" t="s">
        <v>1697</v>
      </c>
      <c r="C480" s="118" t="s">
        <v>1698</v>
      </c>
      <c r="D480" s="13" t="s">
        <v>732</v>
      </c>
      <c r="E480" s="13" t="s">
        <v>733</v>
      </c>
      <c r="F480" s="119" t="s">
        <v>1134</v>
      </c>
    </row>
    <row r="481" spans="1:6">
      <c r="A481" s="117" t="s">
        <v>1696</v>
      </c>
      <c r="B481" s="117" t="s">
        <v>1699</v>
      </c>
      <c r="C481" s="118" t="s">
        <v>1700</v>
      </c>
      <c r="D481" s="13" t="s">
        <v>732</v>
      </c>
      <c r="E481" s="49"/>
      <c r="F481" s="49"/>
    </row>
    <row r="482" spans="1:6">
      <c r="A482" s="117" t="s">
        <v>1696</v>
      </c>
      <c r="B482" s="117" t="s">
        <v>1701</v>
      </c>
      <c r="C482" s="118" t="s">
        <v>1702</v>
      </c>
      <c r="D482" s="13" t="s">
        <v>732</v>
      </c>
      <c r="E482" s="13" t="s">
        <v>733</v>
      </c>
      <c r="F482" s="119" t="s">
        <v>1217</v>
      </c>
    </row>
    <row r="483" spans="1:6">
      <c r="A483" s="117" t="s">
        <v>1696</v>
      </c>
      <c r="B483" s="117" t="s">
        <v>1703</v>
      </c>
      <c r="C483" s="118" t="s">
        <v>1704</v>
      </c>
      <c r="D483" s="13" t="s">
        <v>1052</v>
      </c>
      <c r="E483" s="13" t="s">
        <v>733</v>
      </c>
      <c r="F483" s="119" t="s">
        <v>1041</v>
      </c>
    </row>
    <row r="484" spans="1:6">
      <c r="A484" s="117" t="s">
        <v>1696</v>
      </c>
      <c r="B484" s="117" t="s">
        <v>1705</v>
      </c>
      <c r="C484" s="118" t="s">
        <v>1706</v>
      </c>
      <c r="D484" s="13" t="s">
        <v>732</v>
      </c>
      <c r="E484" s="13" t="s">
        <v>733</v>
      </c>
      <c r="F484" s="119" t="s">
        <v>1134</v>
      </c>
    </row>
    <row r="485" spans="1:6">
      <c r="A485" s="117" t="s">
        <v>1696</v>
      </c>
      <c r="B485" s="117" t="s">
        <v>1707</v>
      </c>
      <c r="C485" s="118" t="s">
        <v>1708</v>
      </c>
      <c r="D485" s="13" t="s">
        <v>308</v>
      </c>
      <c r="E485" s="13" t="s">
        <v>726</v>
      </c>
      <c r="F485" s="119" t="s">
        <v>1134</v>
      </c>
    </row>
    <row r="486" spans="1:6">
      <c r="A486" s="117" t="s">
        <v>1696</v>
      </c>
      <c r="B486" s="117" t="s">
        <v>1709</v>
      </c>
      <c r="C486" s="118" t="s">
        <v>1710</v>
      </c>
      <c r="D486" s="13" t="s">
        <v>732</v>
      </c>
      <c r="E486" s="13" t="s">
        <v>733</v>
      </c>
      <c r="F486" s="119" t="s">
        <v>1041</v>
      </c>
    </row>
    <row r="487" spans="1:6">
      <c r="A487" s="117" t="s">
        <v>1696</v>
      </c>
      <c r="B487" s="117" t="s">
        <v>1711</v>
      </c>
      <c r="C487" s="118" t="s">
        <v>1712</v>
      </c>
      <c r="D487" s="13" t="s">
        <v>732</v>
      </c>
      <c r="E487" s="13" t="s">
        <v>733</v>
      </c>
      <c r="F487" s="119" t="s">
        <v>1041</v>
      </c>
    </row>
    <row r="488" spans="1:6">
      <c r="A488" s="117" t="s">
        <v>1696</v>
      </c>
      <c r="B488" s="117" t="s">
        <v>1713</v>
      </c>
      <c r="C488" s="118" t="s">
        <v>1714</v>
      </c>
      <c r="D488" s="13" t="s">
        <v>1052</v>
      </c>
      <c r="E488" s="13" t="s">
        <v>733</v>
      </c>
      <c r="F488" s="119" t="s">
        <v>1134</v>
      </c>
    </row>
    <row r="489" spans="1:6">
      <c r="A489" s="117" t="s">
        <v>1696</v>
      </c>
      <c r="B489" s="117" t="s">
        <v>1715</v>
      </c>
      <c r="C489" s="118" t="s">
        <v>1716</v>
      </c>
      <c r="D489" s="13" t="s">
        <v>1052</v>
      </c>
      <c r="E489" s="13" t="s">
        <v>733</v>
      </c>
      <c r="F489" s="119" t="s">
        <v>1717</v>
      </c>
    </row>
    <row r="490" spans="1:6">
      <c r="A490" s="117" t="s">
        <v>1696</v>
      </c>
      <c r="B490" s="117" t="s">
        <v>1718</v>
      </c>
      <c r="C490" s="118" t="s">
        <v>1719</v>
      </c>
      <c r="D490" s="13" t="s">
        <v>308</v>
      </c>
      <c r="E490" s="49"/>
      <c r="F490" s="49"/>
    </row>
    <row r="491" spans="1:6">
      <c r="A491" s="117" t="s">
        <v>1696</v>
      </c>
      <c r="B491" s="117" t="s">
        <v>1720</v>
      </c>
      <c r="C491" s="118" t="s">
        <v>1721</v>
      </c>
      <c r="D491" s="13" t="s">
        <v>732</v>
      </c>
      <c r="E491" s="13" t="s">
        <v>733</v>
      </c>
      <c r="F491" s="119" t="s">
        <v>1134</v>
      </c>
    </row>
    <row r="492" spans="1:6">
      <c r="A492" s="117" t="s">
        <v>1696</v>
      </c>
      <c r="B492" s="117" t="s">
        <v>1722</v>
      </c>
      <c r="C492" s="118" t="s">
        <v>1723</v>
      </c>
      <c r="D492" s="13" t="s">
        <v>308</v>
      </c>
      <c r="E492" s="13" t="s">
        <v>726</v>
      </c>
      <c r="F492" s="49"/>
    </row>
    <row r="493" spans="1:6">
      <c r="A493" s="117" t="s">
        <v>1696</v>
      </c>
      <c r="B493" s="117" t="s">
        <v>1724</v>
      </c>
      <c r="C493" s="118" t="s">
        <v>1725</v>
      </c>
      <c r="D493" s="13" t="s">
        <v>732</v>
      </c>
      <c r="E493" s="13" t="s">
        <v>733</v>
      </c>
      <c r="F493" s="119" t="s">
        <v>1726</v>
      </c>
    </row>
    <row r="494" spans="1:6">
      <c r="A494" s="117" t="s">
        <v>1696</v>
      </c>
      <c r="B494" s="117" t="s">
        <v>1727</v>
      </c>
      <c r="C494" s="118" t="s">
        <v>1728</v>
      </c>
      <c r="D494" s="13" t="s">
        <v>1052</v>
      </c>
      <c r="E494" s="13" t="s">
        <v>733</v>
      </c>
      <c r="F494" s="119" t="s">
        <v>1717</v>
      </c>
    </row>
    <row r="495" spans="1:6">
      <c r="A495" s="117" t="s">
        <v>1696</v>
      </c>
      <c r="B495" s="117" t="s">
        <v>1729</v>
      </c>
      <c r="C495" s="118" t="s">
        <v>1730</v>
      </c>
      <c r="D495" s="13" t="s">
        <v>308</v>
      </c>
      <c r="E495" s="13" t="s">
        <v>726</v>
      </c>
      <c r="F495" s="49"/>
    </row>
    <row r="496" spans="1:6">
      <c r="A496" s="117" t="s">
        <v>1696</v>
      </c>
      <c r="B496" s="117" t="s">
        <v>1731</v>
      </c>
      <c r="C496" s="118" t="s">
        <v>1732</v>
      </c>
      <c r="D496" s="13" t="s">
        <v>1052</v>
      </c>
      <c r="E496" s="13" t="s">
        <v>733</v>
      </c>
      <c r="F496" s="119" t="s">
        <v>1717</v>
      </c>
    </row>
    <row r="497" spans="1:6">
      <c r="A497" s="117" t="s">
        <v>1696</v>
      </c>
      <c r="B497" s="117" t="s">
        <v>1733</v>
      </c>
      <c r="C497" s="118" t="s">
        <v>1734</v>
      </c>
      <c r="D497" s="13" t="s">
        <v>308</v>
      </c>
      <c r="E497" s="13" t="s">
        <v>726</v>
      </c>
      <c r="F497" s="119" t="s">
        <v>1717</v>
      </c>
    </row>
    <row r="498" spans="1:6">
      <c r="A498" s="117" t="s">
        <v>1696</v>
      </c>
      <c r="B498" s="117" t="s">
        <v>1735</v>
      </c>
      <c r="C498" s="118" t="s">
        <v>1736</v>
      </c>
      <c r="D498" s="13" t="s">
        <v>308</v>
      </c>
      <c r="E498" s="49"/>
      <c r="F498" s="49"/>
    </row>
    <row r="499" spans="1:6">
      <c r="A499" s="117" t="s">
        <v>1696</v>
      </c>
      <c r="B499" s="117" t="s">
        <v>1737</v>
      </c>
      <c r="C499" s="118" t="s">
        <v>1738</v>
      </c>
      <c r="D499" s="13" t="s">
        <v>732</v>
      </c>
      <c r="E499" s="13" t="s">
        <v>733</v>
      </c>
      <c r="F499" s="119" t="s">
        <v>1726</v>
      </c>
    </row>
    <row r="500" spans="1:6">
      <c r="A500" s="117" t="s">
        <v>1696</v>
      </c>
      <c r="B500" s="117" t="s">
        <v>1739</v>
      </c>
      <c r="C500" s="118" t="s">
        <v>1740</v>
      </c>
      <c r="D500" s="13" t="s">
        <v>1052</v>
      </c>
      <c r="E500" s="13" t="s">
        <v>733</v>
      </c>
      <c r="F500" s="119" t="s">
        <v>1726</v>
      </c>
    </row>
    <row r="501" spans="1:6">
      <c r="A501" s="117" t="s">
        <v>1696</v>
      </c>
      <c r="B501" s="117" t="s">
        <v>1741</v>
      </c>
      <c r="C501" s="118" t="s">
        <v>1742</v>
      </c>
      <c r="D501" s="13" t="s">
        <v>1052</v>
      </c>
      <c r="E501" s="13" t="s">
        <v>733</v>
      </c>
      <c r="F501" s="119" t="s">
        <v>1018</v>
      </c>
    </row>
    <row r="502" spans="1:6">
      <c r="A502" s="117" t="s">
        <v>1696</v>
      </c>
      <c r="B502" s="117" t="s">
        <v>1743</v>
      </c>
      <c r="C502" s="118" t="s">
        <v>1744</v>
      </c>
      <c r="D502" s="13" t="s">
        <v>1052</v>
      </c>
      <c r="E502" s="13" t="s">
        <v>733</v>
      </c>
      <c r="F502" s="119" t="s">
        <v>1024</v>
      </c>
    </row>
    <row r="503" spans="1:6">
      <c r="A503" s="117" t="s">
        <v>1696</v>
      </c>
      <c r="B503" s="117" t="s">
        <v>1745</v>
      </c>
      <c r="C503" s="118" t="s">
        <v>1746</v>
      </c>
      <c r="D503" s="13" t="s">
        <v>308</v>
      </c>
      <c r="E503" s="13" t="s">
        <v>733</v>
      </c>
      <c r="F503" s="119" t="s">
        <v>1024</v>
      </c>
    </row>
    <row r="504" spans="1:6">
      <c r="A504" s="117" t="s">
        <v>1696</v>
      </c>
      <c r="B504" s="117" t="s">
        <v>1747</v>
      </c>
      <c r="C504" s="118" t="s">
        <v>1748</v>
      </c>
      <c r="D504" s="13" t="s">
        <v>1052</v>
      </c>
      <c r="E504" s="13" t="s">
        <v>733</v>
      </c>
      <c r="F504" s="119" t="s">
        <v>1024</v>
      </c>
    </row>
    <row r="505" spans="1:6">
      <c r="A505" s="120"/>
      <c r="B505" s="120"/>
      <c r="C505" s="121"/>
      <c r="D505" s="49"/>
      <c r="E505" s="49"/>
      <c r="F505" s="49"/>
    </row>
    <row r="506" spans="1:6">
      <c r="A506" s="120"/>
      <c r="B506" s="120"/>
      <c r="C506" s="121"/>
      <c r="D506" s="49"/>
      <c r="E506" s="49"/>
      <c r="F506" s="49"/>
    </row>
    <row r="507" spans="1:6">
      <c r="A507" s="120"/>
      <c r="B507" s="120"/>
      <c r="C507" s="121"/>
      <c r="D507" s="49"/>
      <c r="E507" s="49"/>
      <c r="F507" s="49"/>
    </row>
    <row r="508" spans="1:6">
      <c r="A508" s="110" t="s">
        <v>324</v>
      </c>
      <c r="B508" s="110" t="s">
        <v>974</v>
      </c>
      <c r="C508" s="109" t="s">
        <v>975</v>
      </c>
      <c r="D508" s="110" t="s">
        <v>732</v>
      </c>
      <c r="E508" s="110" t="s">
        <v>733</v>
      </c>
      <c r="F508" s="110">
        <v>8</v>
      </c>
    </row>
    <row r="509" spans="1:6">
      <c r="A509" s="110" t="s">
        <v>324</v>
      </c>
      <c r="B509" s="110" t="s">
        <v>1749</v>
      </c>
      <c r="C509" s="109" t="s">
        <v>1750</v>
      </c>
      <c r="D509" s="110" t="s">
        <v>308</v>
      </c>
      <c r="E509" s="110" t="s">
        <v>726</v>
      </c>
      <c r="F509" s="110">
        <v>5</v>
      </c>
    </row>
    <row r="510" spans="1:6">
      <c r="A510" s="110" t="s">
        <v>324</v>
      </c>
      <c r="B510" s="110" t="s">
        <v>1751</v>
      </c>
      <c r="C510" s="109" t="s">
        <v>1752</v>
      </c>
      <c r="D510" s="110" t="s">
        <v>308</v>
      </c>
      <c r="E510" s="110" t="s">
        <v>726</v>
      </c>
      <c r="F510" s="110">
        <v>5</v>
      </c>
    </row>
    <row r="511" spans="1:6">
      <c r="A511" s="110" t="s">
        <v>324</v>
      </c>
      <c r="B511" s="110" t="s">
        <v>1753</v>
      </c>
      <c r="C511" s="109" t="s">
        <v>1754</v>
      </c>
      <c r="D511" s="110" t="s">
        <v>308</v>
      </c>
      <c r="E511" s="110" t="s">
        <v>726</v>
      </c>
      <c r="F511" s="110">
        <v>5</v>
      </c>
    </row>
    <row r="512" spans="1:6">
      <c r="A512" s="110" t="s">
        <v>324</v>
      </c>
      <c r="B512" s="110" t="s">
        <v>1755</v>
      </c>
      <c r="C512" s="109" t="s">
        <v>1756</v>
      </c>
      <c r="D512" s="110" t="s">
        <v>308</v>
      </c>
      <c r="E512" s="110" t="s">
        <v>726</v>
      </c>
      <c r="F512" s="110">
        <v>5</v>
      </c>
    </row>
    <row r="513" spans="1:6">
      <c r="A513" s="110" t="s">
        <v>324</v>
      </c>
      <c r="B513" s="110" t="s">
        <v>1757</v>
      </c>
      <c r="C513" s="109" t="s">
        <v>1758</v>
      </c>
      <c r="D513" s="110" t="s">
        <v>308</v>
      </c>
      <c r="E513" s="110" t="s">
        <v>726</v>
      </c>
      <c r="F513" s="110">
        <v>5</v>
      </c>
    </row>
    <row r="514" spans="1:6">
      <c r="A514" s="110" t="s">
        <v>324</v>
      </c>
      <c r="B514" s="110" t="s">
        <v>1759</v>
      </c>
      <c r="C514" s="109" t="s">
        <v>1760</v>
      </c>
      <c r="D514" s="110" t="s">
        <v>308</v>
      </c>
      <c r="E514" s="110" t="s">
        <v>726</v>
      </c>
      <c r="F514" s="110">
        <v>5</v>
      </c>
    </row>
    <row r="515" spans="1:6">
      <c r="A515" s="110" t="s">
        <v>324</v>
      </c>
      <c r="B515" s="110" t="s">
        <v>1761</v>
      </c>
      <c r="C515" s="109" t="s">
        <v>1762</v>
      </c>
      <c r="D515" s="110" t="s">
        <v>308</v>
      </c>
      <c r="E515" s="110" t="s">
        <v>733</v>
      </c>
      <c r="F515" s="110">
        <v>7</v>
      </c>
    </row>
    <row r="516" spans="1:6">
      <c r="A516" s="110" t="s">
        <v>324</v>
      </c>
      <c r="B516" s="110" t="s">
        <v>1763</v>
      </c>
      <c r="C516" s="109" t="s">
        <v>1040</v>
      </c>
      <c r="D516" s="110" t="s">
        <v>308</v>
      </c>
      <c r="E516" s="110" t="s">
        <v>726</v>
      </c>
      <c r="F516" s="110">
        <v>6</v>
      </c>
    </row>
    <row r="517" spans="1:6">
      <c r="A517" s="110" t="s">
        <v>324</v>
      </c>
      <c r="B517" s="110" t="s">
        <v>1764</v>
      </c>
      <c r="C517" s="109" t="s">
        <v>1043</v>
      </c>
      <c r="D517" s="110" t="s">
        <v>308</v>
      </c>
      <c r="E517" s="110" t="s">
        <v>726</v>
      </c>
      <c r="F517" s="110">
        <v>4</v>
      </c>
    </row>
    <row r="518" spans="1:6">
      <c r="A518" s="110" t="s">
        <v>324</v>
      </c>
      <c r="B518" s="110" t="s">
        <v>1765</v>
      </c>
      <c r="C518" s="109" t="s">
        <v>1045</v>
      </c>
      <c r="D518" s="110" t="s">
        <v>308</v>
      </c>
      <c r="E518" s="110" t="s">
        <v>726</v>
      </c>
      <c r="F518" s="110">
        <v>4</v>
      </c>
    </row>
    <row r="519" spans="1:6">
      <c r="A519" s="110" t="s">
        <v>324</v>
      </c>
      <c r="B519" s="110" t="s">
        <v>1766</v>
      </c>
      <c r="C519" s="109" t="s">
        <v>1047</v>
      </c>
      <c r="D519" s="110" t="s">
        <v>308</v>
      </c>
      <c r="E519" s="110" t="s">
        <v>726</v>
      </c>
      <c r="F519" s="110">
        <v>4</v>
      </c>
    </row>
    <row r="520" spans="1:6">
      <c r="A520" s="110" t="s">
        <v>324</v>
      </c>
      <c r="B520" s="110" t="s">
        <v>1767</v>
      </c>
      <c r="C520" s="109" t="s">
        <v>1768</v>
      </c>
      <c r="D520" s="110" t="s">
        <v>308</v>
      </c>
      <c r="E520" s="110" t="s">
        <v>726</v>
      </c>
      <c r="F520" s="110">
        <v>4</v>
      </c>
    </row>
    <row r="521" spans="1:6">
      <c r="A521" s="110" t="s">
        <v>324</v>
      </c>
      <c r="B521" s="110" t="s">
        <v>1769</v>
      </c>
      <c r="C521" s="109" t="s">
        <v>1770</v>
      </c>
      <c r="D521" s="110" t="s">
        <v>308</v>
      </c>
      <c r="E521" s="110" t="s">
        <v>726</v>
      </c>
      <c r="F521" s="110">
        <v>8</v>
      </c>
    </row>
    <row r="522" spans="1:6">
      <c r="A522" s="110" t="s">
        <v>324</v>
      </c>
      <c r="B522" s="110" t="s">
        <v>976</v>
      </c>
      <c r="C522" s="109" t="s">
        <v>977</v>
      </c>
      <c r="D522" s="110" t="s">
        <v>732</v>
      </c>
      <c r="E522" s="110" t="s">
        <v>733</v>
      </c>
      <c r="F522" s="110">
        <v>2</v>
      </c>
    </row>
    <row r="523" spans="1:6">
      <c r="A523" s="110" t="s">
        <v>324</v>
      </c>
      <c r="B523" s="110" t="s">
        <v>979</v>
      </c>
      <c r="C523" s="109" t="s">
        <v>980</v>
      </c>
      <c r="D523" s="110" t="s">
        <v>732</v>
      </c>
      <c r="E523" s="110" t="s">
        <v>733</v>
      </c>
      <c r="F523" s="110">
        <v>2</v>
      </c>
    </row>
    <row r="524" spans="1:6">
      <c r="A524" s="110" t="s">
        <v>324</v>
      </c>
      <c r="B524" s="110" t="s">
        <v>1771</v>
      </c>
      <c r="C524" s="109" t="s">
        <v>1772</v>
      </c>
      <c r="D524" s="110" t="s">
        <v>1052</v>
      </c>
      <c r="E524" s="110" t="s">
        <v>733</v>
      </c>
      <c r="F524" s="110">
        <v>12</v>
      </c>
    </row>
    <row r="525" spans="1:6">
      <c r="A525" s="110" t="s">
        <v>324</v>
      </c>
      <c r="B525" s="110" t="s">
        <v>981</v>
      </c>
      <c r="C525" s="109" t="s">
        <v>982</v>
      </c>
      <c r="D525" s="110" t="s">
        <v>732</v>
      </c>
      <c r="E525" s="110" t="s">
        <v>733</v>
      </c>
      <c r="F525" s="110">
        <v>6</v>
      </c>
    </row>
    <row r="526" spans="1:6">
      <c r="A526" s="110" t="s">
        <v>324</v>
      </c>
      <c r="B526" s="110" t="s">
        <v>1773</v>
      </c>
      <c r="C526" s="109" t="s">
        <v>1774</v>
      </c>
      <c r="D526" s="110" t="s">
        <v>1052</v>
      </c>
      <c r="E526" s="110" t="s">
        <v>733</v>
      </c>
      <c r="F526" s="110">
        <v>4</v>
      </c>
    </row>
    <row r="527" spans="1:6">
      <c r="A527" s="110" t="s">
        <v>324</v>
      </c>
      <c r="B527" s="110" t="s">
        <v>983</v>
      </c>
      <c r="C527" s="109" t="s">
        <v>984</v>
      </c>
      <c r="D527" s="110" t="s">
        <v>732</v>
      </c>
      <c r="E527" s="110" t="s">
        <v>733</v>
      </c>
      <c r="F527" s="110">
        <v>4</v>
      </c>
    </row>
    <row r="528" spans="1:6">
      <c r="A528" s="110" t="s">
        <v>324</v>
      </c>
      <c r="B528" s="110" t="s">
        <v>985</v>
      </c>
      <c r="C528" s="109" t="s">
        <v>986</v>
      </c>
      <c r="D528" s="110" t="s">
        <v>732</v>
      </c>
      <c r="E528" s="110" t="s">
        <v>733</v>
      </c>
      <c r="F528" s="110">
        <v>2</v>
      </c>
    </row>
    <row r="529" spans="1:6">
      <c r="A529" s="110" t="s">
        <v>324</v>
      </c>
      <c r="B529" s="110" t="s">
        <v>987</v>
      </c>
      <c r="C529" s="109" t="s">
        <v>988</v>
      </c>
      <c r="D529" s="110" t="s">
        <v>732</v>
      </c>
      <c r="E529" s="49"/>
      <c r="F529" s="110">
        <v>2</v>
      </c>
    </row>
    <row r="530" spans="1:6">
      <c r="A530" s="110" t="s">
        <v>324</v>
      </c>
      <c r="B530" s="110" t="s">
        <v>989</v>
      </c>
      <c r="C530" s="109" t="s">
        <v>990</v>
      </c>
      <c r="D530" s="110" t="s">
        <v>732</v>
      </c>
      <c r="E530" s="110" t="s">
        <v>733</v>
      </c>
      <c r="F530" s="110">
        <v>8</v>
      </c>
    </row>
    <row r="531" spans="1:6">
      <c r="A531" s="110" t="s">
        <v>324</v>
      </c>
      <c r="B531" s="110" t="s">
        <v>991</v>
      </c>
      <c r="C531" s="109" t="s">
        <v>992</v>
      </c>
      <c r="D531" s="110" t="s">
        <v>732</v>
      </c>
      <c r="E531" s="110" t="s">
        <v>733</v>
      </c>
      <c r="F531" s="110">
        <v>16</v>
      </c>
    </row>
    <row r="532" spans="1:6">
      <c r="A532" s="110" t="s">
        <v>324</v>
      </c>
      <c r="B532" s="110" t="s">
        <v>993</v>
      </c>
      <c r="C532" s="109" t="s">
        <v>994</v>
      </c>
      <c r="D532" s="110" t="s">
        <v>732</v>
      </c>
      <c r="E532" s="110" t="s">
        <v>733</v>
      </c>
      <c r="F532" s="110">
        <v>2</v>
      </c>
    </row>
    <row r="533" spans="1:6">
      <c r="A533" s="110" t="s">
        <v>324</v>
      </c>
      <c r="B533" s="110" t="s">
        <v>995</v>
      </c>
      <c r="C533" s="109" t="s">
        <v>996</v>
      </c>
      <c r="D533" s="110" t="s">
        <v>732</v>
      </c>
      <c r="E533" s="110" t="s">
        <v>733</v>
      </c>
      <c r="F533" s="110">
        <v>2</v>
      </c>
    </row>
    <row r="534" spans="1:6">
      <c r="A534" s="110" t="s">
        <v>324</v>
      </c>
      <c r="B534" s="110" t="s">
        <v>997</v>
      </c>
      <c r="C534" s="109" t="s">
        <v>998</v>
      </c>
      <c r="D534" s="110" t="s">
        <v>732</v>
      </c>
      <c r="E534" s="110" t="s">
        <v>733</v>
      </c>
      <c r="F534" s="110">
        <v>4</v>
      </c>
    </row>
    <row r="535" spans="1:6">
      <c r="A535" s="110" t="s">
        <v>324</v>
      </c>
      <c r="B535" s="110" t="s">
        <v>1775</v>
      </c>
      <c r="C535" s="109" t="s">
        <v>1776</v>
      </c>
      <c r="D535" s="110" t="s">
        <v>1052</v>
      </c>
      <c r="E535" s="110" t="s">
        <v>733</v>
      </c>
      <c r="F535" s="110">
        <v>4</v>
      </c>
    </row>
    <row r="536" spans="1:6">
      <c r="A536" s="110" t="s">
        <v>324</v>
      </c>
      <c r="B536" s="110" t="s">
        <v>1777</v>
      </c>
      <c r="C536" s="109" t="s">
        <v>1778</v>
      </c>
      <c r="D536" s="110" t="s">
        <v>1052</v>
      </c>
      <c r="E536" s="110" t="s">
        <v>733</v>
      </c>
      <c r="F536" s="110">
        <v>4</v>
      </c>
    </row>
    <row r="537" spans="1:6">
      <c r="A537" s="110" t="s">
        <v>324</v>
      </c>
      <c r="B537" s="110" t="s">
        <v>1779</v>
      </c>
      <c r="C537" s="109" t="s">
        <v>1780</v>
      </c>
      <c r="D537" s="110" t="s">
        <v>1052</v>
      </c>
      <c r="E537" s="110" t="s">
        <v>733</v>
      </c>
      <c r="F537" s="110">
        <v>4</v>
      </c>
    </row>
    <row r="538" spans="1:6">
      <c r="A538" s="110" t="s">
        <v>324</v>
      </c>
      <c r="B538" s="110" t="s">
        <v>999</v>
      </c>
      <c r="C538" s="109" t="s">
        <v>1000</v>
      </c>
      <c r="D538" s="110" t="s">
        <v>732</v>
      </c>
      <c r="E538" s="110" t="s">
        <v>733</v>
      </c>
      <c r="F538" s="110">
        <v>4</v>
      </c>
    </row>
    <row r="539" spans="1:6">
      <c r="A539" s="110" t="s">
        <v>324</v>
      </c>
      <c r="B539" s="110" t="s">
        <v>1781</v>
      </c>
      <c r="C539" s="109" t="s">
        <v>1782</v>
      </c>
      <c r="D539" s="110" t="s">
        <v>1052</v>
      </c>
      <c r="E539" s="110" t="s">
        <v>733</v>
      </c>
      <c r="F539" s="110">
        <v>2</v>
      </c>
    </row>
    <row r="540" spans="1:6">
      <c r="A540" s="120"/>
      <c r="B540" s="120"/>
      <c r="C540" s="121"/>
      <c r="D540" s="49"/>
      <c r="E540" s="49"/>
      <c r="F540" s="49"/>
    </row>
    <row r="541" spans="1:6">
      <c r="A541" s="120"/>
      <c r="B541" s="120"/>
      <c r="C541" s="121"/>
      <c r="D541" s="49"/>
      <c r="E541" s="49"/>
      <c r="F541" s="49"/>
    </row>
    <row r="542" spans="1:6">
      <c r="A542" s="120"/>
      <c r="B542" s="120"/>
      <c r="C542" s="121"/>
      <c r="D542" s="49"/>
      <c r="E542" s="49"/>
      <c r="F542" s="49"/>
    </row>
    <row r="543" spans="1:6">
      <c r="A543" s="120"/>
      <c r="B543" s="120"/>
      <c r="C543" s="121"/>
      <c r="D543" s="49"/>
      <c r="E543" s="49"/>
      <c r="F543" s="49"/>
    </row>
    <row r="544" spans="1:6">
      <c r="A544" s="120"/>
      <c r="B544" s="120"/>
      <c r="C544" s="121"/>
      <c r="D544" s="49"/>
      <c r="E544" s="49"/>
      <c r="F544" s="49"/>
    </row>
    <row r="545" spans="1:6">
      <c r="A545" s="120"/>
      <c r="B545" s="120"/>
      <c r="C545" s="121"/>
      <c r="D545" s="49"/>
      <c r="E545" s="49"/>
      <c r="F545" s="49"/>
    </row>
    <row r="546" spans="1:6">
      <c r="A546" s="120"/>
      <c r="B546" s="120"/>
      <c r="C546" s="121"/>
      <c r="D546" s="49"/>
      <c r="E546" s="49"/>
      <c r="F546" s="49"/>
    </row>
    <row r="547" spans="1:6">
      <c r="A547" s="120"/>
      <c r="B547" s="120"/>
      <c r="C547" s="121"/>
      <c r="D547" s="49"/>
      <c r="E547" s="49"/>
      <c r="F547" s="49"/>
    </row>
    <row r="548" spans="1:6">
      <c r="A548" s="120"/>
      <c r="B548" s="120"/>
      <c r="C548" s="121"/>
      <c r="D548" s="49"/>
      <c r="E548" s="49"/>
      <c r="F548" s="49"/>
    </row>
    <row r="549" spans="1:6">
      <c r="A549" s="120"/>
      <c r="B549" s="120"/>
      <c r="C549" s="121"/>
      <c r="D549" s="49"/>
      <c r="E549" s="49"/>
      <c r="F549" s="49"/>
    </row>
    <row r="550" spans="1:6">
      <c r="A550" s="120"/>
      <c r="B550" s="120"/>
      <c r="C550" s="121"/>
      <c r="D550" s="49"/>
      <c r="E550" s="49"/>
      <c r="F550" s="49"/>
    </row>
    <row r="551" spans="1:6">
      <c r="A551" s="120"/>
      <c r="B551" s="120"/>
      <c r="C551" s="121"/>
      <c r="D551" s="49"/>
      <c r="E551" s="49"/>
      <c r="F551" s="49"/>
    </row>
    <row r="552" spans="1:6">
      <c r="A552" s="120"/>
      <c r="B552" s="120"/>
      <c r="C552" s="121"/>
      <c r="D552" s="49"/>
      <c r="E552" s="49"/>
      <c r="F552" s="49"/>
    </row>
    <row r="553" spans="1:6">
      <c r="A553" s="120"/>
      <c r="B553" s="120"/>
      <c r="C553" s="121"/>
      <c r="D553" s="49"/>
      <c r="E553" s="49"/>
      <c r="F553" s="49"/>
    </row>
    <row r="554" spans="1:6">
      <c r="A554" s="120"/>
      <c r="B554" s="120"/>
      <c r="C554" s="121"/>
      <c r="D554" s="49"/>
      <c r="E554" s="49"/>
      <c r="F554" s="49"/>
    </row>
    <row r="555" spans="1:6">
      <c r="A555" s="120"/>
      <c r="B555" s="120"/>
      <c r="C555" s="121"/>
      <c r="D555" s="49"/>
      <c r="E555" s="49"/>
      <c r="F555" s="49"/>
    </row>
    <row r="556" spans="1:6">
      <c r="A556" s="120"/>
      <c r="B556" s="120"/>
      <c r="C556" s="121"/>
      <c r="D556" s="49"/>
      <c r="E556" s="49"/>
      <c r="F556" s="49"/>
    </row>
    <row r="557" spans="1:6">
      <c r="A557" s="120"/>
      <c r="B557" s="120"/>
      <c r="C557" s="121"/>
      <c r="D557" s="49"/>
      <c r="E557" s="49"/>
      <c r="F557" s="49"/>
    </row>
    <row r="558" spans="1:6">
      <c r="A558" s="120"/>
      <c r="B558" s="120"/>
      <c r="C558" s="121"/>
      <c r="D558" s="49"/>
      <c r="E558" s="49"/>
      <c r="F558" s="49"/>
    </row>
    <row r="559" spans="1:6">
      <c r="A559" s="120"/>
      <c r="B559" s="120"/>
      <c r="C559" s="121"/>
      <c r="D559" s="49"/>
      <c r="E559" s="49"/>
      <c r="F559" s="49"/>
    </row>
    <row r="560" spans="1:6">
      <c r="A560" s="120"/>
      <c r="B560" s="120"/>
      <c r="C560" s="121"/>
      <c r="D560" s="49"/>
      <c r="E560" s="49"/>
      <c r="F560" s="49"/>
    </row>
    <row r="561" spans="1:6">
      <c r="A561" s="120"/>
      <c r="B561" s="120"/>
      <c r="C561" s="121"/>
      <c r="D561" s="49"/>
      <c r="E561" s="49"/>
      <c r="F561" s="49"/>
    </row>
    <row r="562" spans="1:6">
      <c r="A562" s="120"/>
      <c r="B562" s="120"/>
      <c r="C562" s="121"/>
      <c r="D562" s="49"/>
      <c r="E562" s="49"/>
      <c r="F562" s="49"/>
    </row>
    <row r="563" spans="1:6">
      <c r="A563" s="120"/>
      <c r="B563" s="120"/>
      <c r="C563" s="121"/>
      <c r="D563" s="49"/>
      <c r="E563" s="49"/>
      <c r="F563" s="49"/>
    </row>
    <row r="564" spans="1:6">
      <c r="A564" s="120"/>
      <c r="B564" s="120"/>
      <c r="C564" s="121"/>
      <c r="D564" s="49"/>
      <c r="E564" s="49"/>
      <c r="F564" s="49"/>
    </row>
    <row r="565" spans="1:6">
      <c r="A565" s="120"/>
      <c r="B565" s="120"/>
      <c r="C565" s="121"/>
      <c r="D565" s="49"/>
      <c r="E565" s="49"/>
      <c r="F565" s="49"/>
    </row>
    <row r="566" spans="1:6">
      <c r="A566" s="120"/>
      <c r="B566" s="120"/>
      <c r="C566" s="121"/>
      <c r="D566" s="49"/>
      <c r="E566" s="49"/>
      <c r="F566" s="49"/>
    </row>
    <row r="567" spans="1:6">
      <c r="A567" s="120"/>
      <c r="B567" s="120"/>
      <c r="C567" s="121"/>
      <c r="D567" s="49"/>
      <c r="E567" s="49"/>
      <c r="F567" s="49"/>
    </row>
    <row r="568" spans="1:6">
      <c r="A568" s="120"/>
      <c r="B568" s="120"/>
      <c r="C568" s="121"/>
      <c r="D568" s="49"/>
      <c r="E568" s="49"/>
      <c r="F568" s="49"/>
    </row>
    <row r="569" spans="1:6">
      <c r="A569" s="120"/>
      <c r="B569" s="120"/>
      <c r="C569" s="121"/>
      <c r="D569" s="49"/>
      <c r="E569" s="49"/>
      <c r="F569" s="49"/>
    </row>
    <row r="570" spans="1:6">
      <c r="A570" s="120"/>
      <c r="B570" s="120"/>
      <c r="C570" s="121"/>
      <c r="D570" s="49"/>
      <c r="E570" s="49"/>
      <c r="F570" s="49"/>
    </row>
    <row r="571" spans="1:6">
      <c r="A571" s="120"/>
      <c r="B571" s="120"/>
      <c r="C571" s="121"/>
      <c r="D571" s="49"/>
      <c r="E571" s="49"/>
      <c r="F571" s="49"/>
    </row>
    <row r="572" spans="1:6">
      <c r="A572" s="120"/>
      <c r="B572" s="120"/>
      <c r="C572" s="121"/>
      <c r="D572" s="49"/>
      <c r="E572" s="49"/>
      <c r="F572" s="49"/>
    </row>
    <row r="573" spans="1:6">
      <c r="A573" s="120"/>
      <c r="B573" s="120"/>
      <c r="C573" s="121"/>
      <c r="D573" s="49"/>
      <c r="E573" s="49"/>
      <c r="F573" s="49"/>
    </row>
    <row r="574" spans="1:6">
      <c r="A574" s="120"/>
      <c r="B574" s="120"/>
      <c r="C574" s="121"/>
      <c r="D574" s="49"/>
      <c r="E574" s="49"/>
      <c r="F574" s="49"/>
    </row>
    <row r="575" spans="1:6">
      <c r="A575" s="120"/>
      <c r="B575" s="120"/>
      <c r="C575" s="121"/>
      <c r="D575" s="49"/>
      <c r="E575" s="49"/>
      <c r="F575" s="49"/>
    </row>
    <row r="576" spans="1:6">
      <c r="A576" s="120"/>
      <c r="B576" s="120"/>
      <c r="C576" s="121"/>
      <c r="D576" s="49"/>
      <c r="E576" s="49"/>
      <c r="F576" s="49"/>
    </row>
    <row r="577" spans="1:6">
      <c r="A577" s="120"/>
      <c r="B577" s="120"/>
      <c r="C577" s="121"/>
      <c r="D577" s="49"/>
      <c r="E577" s="49"/>
      <c r="F577" s="49"/>
    </row>
    <row r="578" spans="1:6">
      <c r="A578" s="120"/>
      <c r="B578" s="120"/>
      <c r="C578" s="121"/>
      <c r="D578" s="49"/>
      <c r="E578" s="49"/>
      <c r="F578" s="49"/>
    </row>
    <row r="579" spans="1:6">
      <c r="A579" s="120"/>
      <c r="B579" s="120"/>
      <c r="C579" s="121"/>
      <c r="D579" s="49"/>
      <c r="E579" s="49"/>
      <c r="F579" s="49"/>
    </row>
    <row r="580" spans="1:6">
      <c r="A580" s="120"/>
      <c r="B580" s="120"/>
      <c r="C580" s="121"/>
      <c r="D580" s="49"/>
      <c r="E580" s="49"/>
      <c r="F580" s="49"/>
    </row>
    <row r="581" spans="1:6">
      <c r="A581" s="120"/>
      <c r="B581" s="120"/>
      <c r="C581" s="121"/>
      <c r="D581" s="49"/>
      <c r="E581" s="49"/>
      <c r="F581" s="49"/>
    </row>
    <row r="582" spans="1:6">
      <c r="A582" s="120"/>
      <c r="B582" s="120"/>
      <c r="C582" s="121"/>
      <c r="D582" s="49"/>
      <c r="E582" s="49"/>
      <c r="F582" s="49"/>
    </row>
    <row r="583" spans="1:6">
      <c r="A583" s="120"/>
      <c r="B583" s="120"/>
      <c r="C583" s="121"/>
      <c r="D583" s="49"/>
      <c r="E583" s="49"/>
      <c r="F583" s="49"/>
    </row>
    <row r="584" spans="1:6">
      <c r="A584" s="120"/>
      <c r="B584" s="120"/>
      <c r="C584" s="121"/>
      <c r="D584" s="49"/>
      <c r="E584" s="49"/>
      <c r="F584" s="49"/>
    </row>
    <row r="585" spans="1:6">
      <c r="A585" s="120"/>
      <c r="B585" s="120"/>
      <c r="C585" s="121"/>
      <c r="D585" s="49"/>
      <c r="E585" s="49"/>
      <c r="F585" s="49"/>
    </row>
    <row r="586" spans="1:6">
      <c r="A586" s="120"/>
      <c r="B586" s="120"/>
      <c r="C586" s="121"/>
      <c r="D586" s="49"/>
      <c r="E586" s="49"/>
      <c r="F586" s="49"/>
    </row>
    <row r="587" spans="1:6">
      <c r="A587" s="120"/>
      <c r="B587" s="120"/>
      <c r="C587" s="121"/>
      <c r="D587" s="49"/>
      <c r="E587" s="49"/>
      <c r="F587" s="49"/>
    </row>
    <row r="588" spans="1:6">
      <c r="A588" s="120"/>
      <c r="B588" s="120"/>
      <c r="C588" s="121"/>
      <c r="D588" s="49"/>
      <c r="E588" s="49"/>
      <c r="F588" s="49"/>
    </row>
    <row r="589" spans="1:6">
      <c r="A589" s="120"/>
      <c r="B589" s="120"/>
      <c r="C589" s="121"/>
      <c r="D589" s="49"/>
      <c r="E589" s="49"/>
      <c r="F589" s="49"/>
    </row>
    <row r="590" spans="1:6">
      <c r="A590" s="120"/>
      <c r="B590" s="120"/>
      <c r="C590" s="121"/>
      <c r="D590" s="49"/>
      <c r="E590" s="49"/>
      <c r="F590" s="49"/>
    </row>
    <row r="591" spans="1:6">
      <c r="A591" s="120"/>
      <c r="B591" s="120"/>
      <c r="C591" s="121"/>
      <c r="D591" s="49"/>
      <c r="E591" s="49"/>
      <c r="F591" s="49"/>
    </row>
    <row r="592" spans="1:6">
      <c r="A592" s="120"/>
      <c r="B592" s="120"/>
      <c r="C592" s="121"/>
      <c r="D592" s="49"/>
      <c r="E592" s="49"/>
      <c r="F592" s="49"/>
    </row>
    <row r="593" spans="1:6">
      <c r="A593" s="120"/>
      <c r="B593" s="120"/>
      <c r="C593" s="121"/>
      <c r="D593" s="49"/>
      <c r="E593" s="49"/>
      <c r="F593" s="49"/>
    </row>
    <row r="594" spans="1:6">
      <c r="A594" s="120"/>
      <c r="B594" s="120"/>
      <c r="C594" s="121"/>
      <c r="D594" s="49"/>
      <c r="E594" s="49"/>
      <c r="F594" s="49"/>
    </row>
    <row r="595" spans="1:6">
      <c r="A595" s="120"/>
      <c r="B595" s="120"/>
      <c r="C595" s="121"/>
      <c r="D595" s="49"/>
      <c r="E595" s="49"/>
      <c r="F595" s="49"/>
    </row>
    <row r="596" spans="1:6">
      <c r="A596" s="120"/>
      <c r="B596" s="120"/>
      <c r="C596" s="121"/>
      <c r="D596" s="49"/>
      <c r="E596" s="49"/>
      <c r="F596" s="49"/>
    </row>
    <row r="597" spans="1:6">
      <c r="A597" s="120"/>
      <c r="B597" s="120"/>
      <c r="C597" s="121"/>
      <c r="D597" s="49"/>
      <c r="E597" s="49"/>
      <c r="F597" s="49"/>
    </row>
    <row r="598" spans="1:6">
      <c r="A598" s="120"/>
      <c r="B598" s="120"/>
      <c r="C598" s="121"/>
      <c r="D598" s="49"/>
      <c r="E598" s="49"/>
      <c r="F598" s="49"/>
    </row>
    <row r="599" spans="1:6">
      <c r="A599" s="120"/>
      <c r="B599" s="120"/>
      <c r="C599" s="121"/>
      <c r="D599" s="49"/>
      <c r="E599" s="49"/>
      <c r="F599" s="49"/>
    </row>
    <row r="600" spans="1:6">
      <c r="A600" s="120"/>
      <c r="B600" s="120"/>
      <c r="C600" s="121"/>
      <c r="D600" s="49"/>
      <c r="E600" s="49"/>
      <c r="F600" s="49"/>
    </row>
    <row r="601" spans="1:6">
      <c r="A601" s="120"/>
      <c r="B601" s="120"/>
      <c r="C601" s="121"/>
      <c r="D601" s="49"/>
      <c r="E601" s="49"/>
      <c r="F601" s="49"/>
    </row>
    <row r="602" spans="1:6">
      <c r="A602" s="120"/>
      <c r="B602" s="120"/>
      <c r="C602" s="121"/>
      <c r="D602" s="49"/>
      <c r="E602" s="49"/>
      <c r="F602" s="49"/>
    </row>
    <row r="603" spans="1:6">
      <c r="A603" s="120"/>
      <c r="B603" s="120"/>
      <c r="C603" s="121"/>
      <c r="D603" s="49"/>
      <c r="E603" s="49"/>
      <c r="F603" s="49"/>
    </row>
    <row r="604" spans="1:6">
      <c r="A604" s="120"/>
      <c r="B604" s="120"/>
      <c r="C604" s="121"/>
      <c r="D604" s="49"/>
      <c r="E604" s="49"/>
      <c r="F604" s="49"/>
    </row>
    <row r="605" spans="1:6">
      <c r="A605" s="120"/>
      <c r="B605" s="120"/>
      <c r="C605" s="121"/>
      <c r="D605" s="49"/>
      <c r="E605" s="49"/>
      <c r="F605" s="49"/>
    </row>
    <row r="606" spans="1:6">
      <c r="A606" s="120"/>
      <c r="B606" s="120"/>
      <c r="C606" s="121"/>
      <c r="D606" s="49"/>
      <c r="E606" s="49"/>
      <c r="F606" s="49"/>
    </row>
    <row r="607" spans="1:6">
      <c r="A607" s="120"/>
      <c r="B607" s="120"/>
      <c r="C607" s="121"/>
      <c r="D607" s="49"/>
      <c r="E607" s="49"/>
      <c r="F607" s="49"/>
    </row>
    <row r="608" spans="1:6">
      <c r="A608" s="120"/>
      <c r="B608" s="120"/>
      <c r="C608" s="121"/>
      <c r="D608" s="49"/>
      <c r="E608" s="49"/>
      <c r="F608" s="49"/>
    </row>
    <row r="609" spans="1:6">
      <c r="A609" s="120"/>
      <c r="B609" s="120"/>
      <c r="C609" s="121"/>
      <c r="D609" s="49"/>
      <c r="E609" s="49"/>
      <c r="F609" s="49"/>
    </row>
    <row r="610" spans="1:6">
      <c r="A610" s="120"/>
      <c r="B610" s="120"/>
      <c r="C610" s="121"/>
      <c r="D610" s="49"/>
      <c r="E610" s="49"/>
      <c r="F610" s="49"/>
    </row>
    <row r="611" spans="1:6">
      <c r="A611" s="120"/>
      <c r="B611" s="120"/>
      <c r="C611" s="121"/>
      <c r="D611" s="49"/>
      <c r="E611" s="49"/>
      <c r="F611" s="49"/>
    </row>
    <row r="612" spans="1:6">
      <c r="A612" s="120"/>
      <c r="B612" s="120"/>
      <c r="C612" s="121"/>
      <c r="D612" s="49"/>
      <c r="E612" s="49"/>
      <c r="F612" s="49"/>
    </row>
    <row r="613" spans="1:6">
      <c r="A613" s="120"/>
      <c r="B613" s="120"/>
      <c r="C613" s="121"/>
      <c r="D613" s="49"/>
      <c r="E613" s="49"/>
      <c r="F613" s="49"/>
    </row>
    <row r="614" spans="1:6">
      <c r="A614" s="120"/>
      <c r="B614" s="120"/>
      <c r="C614" s="121"/>
      <c r="D614" s="49"/>
      <c r="E614" s="49"/>
      <c r="F614" s="49"/>
    </row>
    <row r="615" spans="1:6">
      <c r="A615" s="120"/>
      <c r="B615" s="120"/>
      <c r="C615" s="121"/>
      <c r="D615" s="49"/>
      <c r="E615" s="49"/>
      <c r="F615" s="49"/>
    </row>
    <row r="616" spans="1:6">
      <c r="A616" s="120"/>
      <c r="B616" s="120"/>
      <c r="C616" s="121"/>
      <c r="D616" s="49"/>
      <c r="E616" s="49"/>
      <c r="F616" s="49"/>
    </row>
    <row r="617" spans="1:6">
      <c r="A617" s="120"/>
      <c r="B617" s="120"/>
      <c r="C617" s="121"/>
      <c r="D617" s="49"/>
      <c r="E617" s="49"/>
      <c r="F617" s="49"/>
    </row>
    <row r="618" spans="1:6">
      <c r="A618" s="120"/>
      <c r="B618" s="120"/>
      <c r="C618" s="121"/>
      <c r="D618" s="49"/>
      <c r="E618" s="49"/>
      <c r="F618" s="49"/>
    </row>
    <row r="619" spans="1:6">
      <c r="A619" s="120"/>
      <c r="B619" s="120"/>
      <c r="C619" s="121"/>
      <c r="D619" s="49"/>
      <c r="E619" s="49"/>
      <c r="F619" s="49"/>
    </row>
    <row r="620" spans="1:6">
      <c r="A620" s="120"/>
      <c r="B620" s="120"/>
      <c r="C620" s="121"/>
      <c r="D620" s="49"/>
      <c r="E620" s="49"/>
      <c r="F620" s="49"/>
    </row>
    <row r="621" spans="1:6">
      <c r="A621" s="120"/>
      <c r="B621" s="120"/>
      <c r="C621" s="121"/>
      <c r="D621" s="49"/>
      <c r="E621" s="49"/>
      <c r="F621" s="49"/>
    </row>
    <row r="622" spans="1:6">
      <c r="A622" s="120"/>
      <c r="B622" s="120"/>
      <c r="C622" s="121"/>
      <c r="D622" s="49"/>
      <c r="E622" s="49"/>
      <c r="F622" s="49"/>
    </row>
    <row r="623" spans="1:6">
      <c r="A623" s="120"/>
      <c r="B623" s="120"/>
      <c r="C623" s="121"/>
      <c r="D623" s="49"/>
      <c r="E623" s="49"/>
      <c r="F623" s="49"/>
    </row>
    <row r="624" spans="1:6">
      <c r="A624" s="120"/>
      <c r="B624" s="120"/>
      <c r="C624" s="121"/>
      <c r="D624" s="49"/>
      <c r="E624" s="49"/>
      <c r="F624" s="49"/>
    </row>
    <row r="625" spans="1:6">
      <c r="A625" s="120"/>
      <c r="B625" s="120"/>
      <c r="C625" s="121"/>
      <c r="D625" s="49"/>
      <c r="E625" s="49"/>
      <c r="F625" s="49"/>
    </row>
    <row r="626" spans="1:6">
      <c r="A626" s="120"/>
      <c r="B626" s="120"/>
      <c r="C626" s="121"/>
      <c r="D626" s="49"/>
      <c r="E626" s="49"/>
      <c r="F626" s="49"/>
    </row>
    <row r="627" spans="1:6">
      <c r="A627" s="120"/>
      <c r="B627" s="120"/>
      <c r="C627" s="121"/>
      <c r="D627" s="49"/>
      <c r="E627" s="49"/>
      <c r="F627" s="49"/>
    </row>
    <row r="628" spans="1:6">
      <c r="A628" s="120"/>
      <c r="B628" s="120"/>
      <c r="C628" s="121"/>
      <c r="D628" s="49"/>
      <c r="E628" s="49"/>
      <c r="F628" s="49"/>
    </row>
    <row r="629" spans="1:6">
      <c r="A629" s="120"/>
      <c r="B629" s="120"/>
      <c r="C629" s="121"/>
      <c r="D629" s="49"/>
      <c r="E629" s="49"/>
      <c r="F629" s="49"/>
    </row>
    <row r="630" spans="1:6">
      <c r="A630" s="120"/>
      <c r="B630" s="120"/>
      <c r="C630" s="121"/>
      <c r="D630" s="49"/>
      <c r="E630" s="49"/>
      <c r="F630" s="49"/>
    </row>
    <row r="631" spans="1:6">
      <c r="A631" s="120"/>
      <c r="B631" s="120"/>
      <c r="C631" s="121"/>
      <c r="D631" s="49"/>
      <c r="E631" s="49"/>
      <c r="F631" s="49"/>
    </row>
    <row r="632" spans="1:6">
      <c r="A632" s="120"/>
      <c r="B632" s="120"/>
      <c r="C632" s="121"/>
      <c r="D632" s="49"/>
      <c r="E632" s="49"/>
      <c r="F632" s="49"/>
    </row>
    <row r="633" spans="1:6">
      <c r="A633" s="120"/>
      <c r="B633" s="120"/>
      <c r="C633" s="121"/>
      <c r="D633" s="49"/>
      <c r="E633" s="49"/>
      <c r="F633" s="49"/>
    </row>
    <row r="634" spans="1:6">
      <c r="A634" s="120"/>
      <c r="B634" s="120"/>
      <c r="C634" s="121"/>
      <c r="D634" s="49"/>
      <c r="E634" s="49"/>
      <c r="F634" s="49"/>
    </row>
    <row r="635" spans="1:6">
      <c r="A635" s="120"/>
      <c r="B635" s="120"/>
      <c r="C635" s="121"/>
      <c r="D635" s="49"/>
      <c r="E635" s="49"/>
      <c r="F635" s="49"/>
    </row>
    <row r="636" spans="1:6">
      <c r="A636" s="120"/>
      <c r="B636" s="120"/>
      <c r="C636" s="121"/>
      <c r="D636" s="49"/>
      <c r="E636" s="49"/>
      <c r="F636" s="49"/>
    </row>
    <row r="637" spans="1:6">
      <c r="A637" s="120"/>
      <c r="B637" s="120"/>
      <c r="C637" s="121"/>
      <c r="D637" s="49"/>
      <c r="E637" s="49"/>
      <c r="F637" s="49"/>
    </row>
    <row r="638" spans="1:6">
      <c r="A638" s="120"/>
      <c r="B638" s="120"/>
      <c r="C638" s="121"/>
      <c r="D638" s="49"/>
      <c r="E638" s="49"/>
      <c r="F638" s="49"/>
    </row>
    <row r="639" spans="1:6">
      <c r="A639" s="120"/>
      <c r="B639" s="120"/>
      <c r="C639" s="121"/>
      <c r="D639" s="49"/>
      <c r="E639" s="49"/>
      <c r="F639" s="49"/>
    </row>
    <row r="640" spans="1:6">
      <c r="A640" s="120"/>
      <c r="B640" s="120"/>
      <c r="C640" s="121"/>
      <c r="D640" s="49"/>
      <c r="E640" s="49"/>
      <c r="F640" s="49"/>
    </row>
    <row r="641" spans="1:6">
      <c r="A641" s="120"/>
      <c r="B641" s="120"/>
      <c r="C641" s="121"/>
      <c r="D641" s="49"/>
      <c r="E641" s="49"/>
      <c r="F641" s="49"/>
    </row>
    <row r="642" spans="1:6">
      <c r="A642" s="120"/>
      <c r="B642" s="120"/>
      <c r="C642" s="121"/>
      <c r="D642" s="49"/>
      <c r="E642" s="49"/>
      <c r="F642" s="49"/>
    </row>
    <row r="643" spans="1:6">
      <c r="A643" s="120"/>
      <c r="B643" s="120"/>
      <c r="C643" s="121"/>
      <c r="D643" s="49"/>
      <c r="E643" s="49"/>
      <c r="F643" s="49"/>
    </row>
    <row r="644" spans="1:6">
      <c r="A644" s="120"/>
      <c r="B644" s="120"/>
      <c r="C644" s="121"/>
      <c r="D644" s="49"/>
      <c r="E644" s="49"/>
      <c r="F644" s="49"/>
    </row>
    <row r="645" spans="1:6">
      <c r="A645" s="120"/>
      <c r="B645" s="120"/>
      <c r="C645" s="121"/>
      <c r="D645" s="49"/>
      <c r="E645" s="49"/>
      <c r="F645" s="49"/>
    </row>
    <row r="646" spans="1:6">
      <c r="A646" s="120"/>
      <c r="B646" s="120"/>
      <c r="C646" s="121"/>
      <c r="D646" s="49"/>
      <c r="E646" s="49"/>
      <c r="F646" s="49"/>
    </row>
    <row r="647" spans="1:6">
      <c r="A647" s="120"/>
      <c r="B647" s="120"/>
      <c r="C647" s="121"/>
      <c r="D647" s="49"/>
      <c r="E647" s="49"/>
      <c r="F647" s="49"/>
    </row>
    <row r="648" spans="1:6">
      <c r="A648" s="120"/>
      <c r="B648" s="120"/>
      <c r="C648" s="121"/>
      <c r="D648" s="49"/>
      <c r="E648" s="49"/>
      <c r="F648" s="49"/>
    </row>
    <row r="649" spans="1:6">
      <c r="A649" s="120"/>
      <c r="B649" s="120"/>
      <c r="C649" s="121"/>
      <c r="D649" s="49"/>
      <c r="E649" s="49"/>
      <c r="F649" s="49"/>
    </row>
    <row r="650" spans="1:6">
      <c r="A650" s="120"/>
      <c r="B650" s="120"/>
      <c r="C650" s="121"/>
      <c r="D650" s="49"/>
      <c r="E650" s="49"/>
      <c r="F650" s="49"/>
    </row>
    <row r="651" spans="1:6">
      <c r="A651" s="120"/>
      <c r="B651" s="120"/>
      <c r="C651" s="121"/>
      <c r="D651" s="49"/>
      <c r="E651" s="49"/>
      <c r="F651" s="49"/>
    </row>
    <row r="652" spans="1:6">
      <c r="A652" s="120"/>
      <c r="B652" s="120"/>
      <c r="C652" s="121"/>
      <c r="D652" s="49"/>
      <c r="E652" s="49"/>
      <c r="F652" s="49"/>
    </row>
    <row r="653" spans="1:6">
      <c r="A653" s="120"/>
      <c r="B653" s="120"/>
      <c r="C653" s="121"/>
      <c r="D653" s="49"/>
      <c r="E653" s="49"/>
      <c r="F653" s="49"/>
    </row>
    <row r="654" spans="1:6">
      <c r="A654" s="120"/>
      <c r="B654" s="120"/>
      <c r="C654" s="121"/>
      <c r="D654" s="49"/>
      <c r="E654" s="49"/>
      <c r="F654" s="49"/>
    </row>
    <row r="655" spans="1:6">
      <c r="A655" s="120"/>
      <c r="B655" s="120"/>
      <c r="C655" s="121"/>
      <c r="D655" s="49"/>
      <c r="E655" s="49"/>
      <c r="F655" s="49"/>
    </row>
    <row r="656" spans="1:6">
      <c r="A656" s="120"/>
      <c r="B656" s="120"/>
      <c r="C656" s="121"/>
      <c r="D656" s="49"/>
      <c r="E656" s="49"/>
      <c r="F656" s="49"/>
    </row>
    <row r="657" spans="1:6">
      <c r="A657" s="120"/>
      <c r="B657" s="120"/>
      <c r="C657" s="121"/>
      <c r="D657" s="49"/>
      <c r="E657" s="49"/>
      <c r="F657" s="49"/>
    </row>
    <row r="658" spans="1:6">
      <c r="A658" s="120"/>
      <c r="B658" s="120"/>
      <c r="C658" s="121"/>
      <c r="D658" s="49"/>
      <c r="E658" s="49"/>
      <c r="F658" s="49"/>
    </row>
    <row r="659" spans="1:6">
      <c r="A659" s="120"/>
      <c r="B659" s="120"/>
      <c r="C659" s="121"/>
      <c r="D659" s="49"/>
      <c r="E659" s="49"/>
      <c r="F659" s="49"/>
    </row>
    <row r="660" spans="1:6">
      <c r="A660" s="120"/>
      <c r="B660" s="120"/>
      <c r="C660" s="121"/>
      <c r="D660" s="49"/>
      <c r="E660" s="49"/>
      <c r="F660" s="49"/>
    </row>
    <row r="661" spans="1:6">
      <c r="A661" s="120"/>
      <c r="B661" s="120"/>
      <c r="C661" s="121"/>
      <c r="D661" s="49"/>
      <c r="E661" s="49"/>
      <c r="F661" s="49"/>
    </row>
    <row r="662" spans="1:6">
      <c r="A662" s="120"/>
      <c r="B662" s="120"/>
      <c r="C662" s="121"/>
      <c r="D662" s="49"/>
      <c r="E662" s="49"/>
      <c r="F662" s="49"/>
    </row>
    <row r="663" spans="1:6">
      <c r="A663" s="120"/>
      <c r="B663" s="120"/>
      <c r="C663" s="121"/>
      <c r="D663" s="49"/>
      <c r="E663" s="49"/>
      <c r="F663" s="49"/>
    </row>
    <row r="664" spans="1:6">
      <c r="A664" s="120"/>
      <c r="B664" s="120"/>
      <c r="C664" s="121"/>
      <c r="D664" s="49"/>
      <c r="E664" s="49"/>
      <c r="F664" s="49"/>
    </row>
    <row r="665" spans="1:6">
      <c r="A665" s="120"/>
      <c r="B665" s="120"/>
      <c r="C665" s="121"/>
      <c r="D665" s="49"/>
      <c r="E665" s="49"/>
      <c r="F665" s="49"/>
    </row>
    <row r="666" spans="1:6">
      <c r="A666" s="120"/>
      <c r="B666" s="120"/>
      <c r="C666" s="121"/>
      <c r="D666" s="49"/>
      <c r="E666" s="49"/>
      <c r="F666" s="49"/>
    </row>
    <row r="667" spans="1:6">
      <c r="A667" s="120"/>
      <c r="B667" s="120"/>
      <c r="C667" s="121"/>
      <c r="D667" s="49"/>
      <c r="E667" s="49"/>
      <c r="F667" s="49"/>
    </row>
    <row r="668" spans="1:6">
      <c r="A668" s="120"/>
      <c r="B668" s="120"/>
      <c r="C668" s="121"/>
      <c r="D668" s="49"/>
      <c r="E668" s="49"/>
      <c r="F668" s="49"/>
    </row>
    <row r="669" spans="1:6">
      <c r="A669" s="120"/>
      <c r="B669" s="120"/>
      <c r="C669" s="121"/>
      <c r="D669" s="49"/>
      <c r="E669" s="49"/>
      <c r="F669" s="49"/>
    </row>
    <row r="670" spans="1:6">
      <c r="A670" s="120"/>
      <c r="B670" s="120"/>
      <c r="C670" s="121"/>
      <c r="D670" s="49"/>
      <c r="E670" s="49"/>
      <c r="F670" s="49"/>
    </row>
    <row r="671" spans="1:6">
      <c r="A671" s="120"/>
      <c r="B671" s="120"/>
      <c r="C671" s="121"/>
      <c r="D671" s="49"/>
      <c r="E671" s="49"/>
      <c r="F671" s="49"/>
    </row>
    <row r="672" spans="1:6">
      <c r="A672" s="120"/>
      <c r="B672" s="120"/>
      <c r="C672" s="121"/>
      <c r="D672" s="49"/>
      <c r="E672" s="49"/>
      <c r="F672" s="49"/>
    </row>
    <row r="673" spans="1:6">
      <c r="A673" s="120"/>
      <c r="B673" s="120"/>
      <c r="C673" s="121"/>
      <c r="D673" s="49"/>
      <c r="E673" s="49"/>
      <c r="F673" s="49"/>
    </row>
    <row r="674" spans="1:6">
      <c r="A674" s="120"/>
      <c r="B674" s="120"/>
      <c r="C674" s="121"/>
      <c r="D674" s="49"/>
      <c r="E674" s="49"/>
      <c r="F674" s="49"/>
    </row>
    <row r="675" spans="1:6">
      <c r="A675" s="120"/>
      <c r="B675" s="120"/>
      <c r="C675" s="121"/>
      <c r="D675" s="49"/>
      <c r="E675" s="49"/>
      <c r="F675" s="49"/>
    </row>
    <row r="676" spans="1:6">
      <c r="A676" s="120"/>
      <c r="B676" s="120"/>
      <c r="C676" s="121"/>
      <c r="D676" s="49"/>
      <c r="E676" s="49"/>
      <c r="F676" s="49"/>
    </row>
    <row r="677" spans="1:6">
      <c r="A677" s="120"/>
      <c r="B677" s="120"/>
      <c r="C677" s="121"/>
      <c r="D677" s="49"/>
      <c r="E677" s="49"/>
      <c r="F677" s="49"/>
    </row>
    <row r="678" spans="1:6">
      <c r="A678" s="120"/>
      <c r="B678" s="120"/>
      <c r="C678" s="121"/>
      <c r="D678" s="49"/>
      <c r="E678" s="49"/>
      <c r="F678" s="49"/>
    </row>
    <row r="679" spans="1:6">
      <c r="A679" s="120"/>
      <c r="B679" s="120"/>
      <c r="C679" s="121"/>
      <c r="D679" s="49"/>
      <c r="E679" s="49"/>
      <c r="F679" s="49"/>
    </row>
    <row r="680" spans="1:6">
      <c r="A680" s="120"/>
      <c r="B680" s="120"/>
      <c r="C680" s="121"/>
      <c r="D680" s="49"/>
      <c r="E680" s="49"/>
      <c r="F680" s="49"/>
    </row>
    <row r="681" spans="1:6">
      <c r="A681" s="120"/>
      <c r="B681" s="120"/>
      <c r="C681" s="121"/>
      <c r="D681" s="49"/>
      <c r="E681" s="49"/>
      <c r="F681" s="49"/>
    </row>
    <row r="682" spans="1:6">
      <c r="A682" s="120"/>
      <c r="B682" s="120"/>
      <c r="C682" s="121"/>
      <c r="D682" s="49"/>
      <c r="E682" s="49"/>
      <c r="F682" s="49"/>
    </row>
    <row r="683" spans="1:6">
      <c r="A683" s="120"/>
      <c r="B683" s="120"/>
      <c r="C683" s="121"/>
      <c r="D683" s="49"/>
      <c r="E683" s="49"/>
      <c r="F683" s="49"/>
    </row>
    <row r="684" spans="1:6">
      <c r="A684" s="120"/>
      <c r="B684" s="120"/>
      <c r="C684" s="121"/>
      <c r="D684" s="49"/>
      <c r="E684" s="49"/>
      <c r="F684" s="49"/>
    </row>
    <row r="685" spans="1:6">
      <c r="A685" s="120"/>
      <c r="B685" s="120"/>
      <c r="C685" s="121"/>
      <c r="D685" s="49"/>
      <c r="E685" s="49"/>
      <c r="F685" s="49"/>
    </row>
    <row r="686" spans="1:6">
      <c r="A686" s="120"/>
      <c r="B686" s="120"/>
      <c r="C686" s="121"/>
      <c r="D686" s="49"/>
      <c r="E686" s="49"/>
      <c r="F686" s="49"/>
    </row>
    <row r="687" spans="1:6">
      <c r="A687" s="120"/>
      <c r="B687" s="120"/>
      <c r="C687" s="121"/>
      <c r="D687" s="49"/>
      <c r="E687" s="49"/>
      <c r="F687" s="49"/>
    </row>
    <row r="688" spans="1:6">
      <c r="A688" s="120"/>
      <c r="B688" s="120"/>
      <c r="C688" s="121"/>
      <c r="D688" s="49"/>
      <c r="E688" s="49"/>
      <c r="F688" s="49"/>
    </row>
    <row r="689" spans="1:6">
      <c r="A689" s="120"/>
      <c r="B689" s="120"/>
      <c r="C689" s="121"/>
      <c r="D689" s="49"/>
      <c r="E689" s="49"/>
      <c r="F689" s="49"/>
    </row>
    <row r="690" spans="1:6">
      <c r="A690" s="120"/>
      <c r="B690" s="120"/>
      <c r="C690" s="121"/>
      <c r="D690" s="49"/>
      <c r="E690" s="49"/>
      <c r="F690" s="49"/>
    </row>
    <row r="691" spans="1:6">
      <c r="A691" s="120"/>
      <c r="B691" s="120"/>
      <c r="C691" s="121"/>
      <c r="D691" s="49"/>
      <c r="E691" s="49"/>
      <c r="F691" s="49"/>
    </row>
    <row r="692" spans="1:6">
      <c r="A692" s="120"/>
      <c r="B692" s="120"/>
      <c r="C692" s="121"/>
      <c r="D692" s="49"/>
      <c r="E692" s="49"/>
      <c r="F692" s="49"/>
    </row>
    <row r="693" spans="1:6">
      <c r="A693" s="120"/>
      <c r="B693" s="120"/>
      <c r="C693" s="121"/>
      <c r="D693" s="49"/>
      <c r="E693" s="49"/>
      <c r="F693" s="49"/>
    </row>
    <row r="694" spans="1:6">
      <c r="A694" s="120"/>
      <c r="B694" s="120"/>
      <c r="C694" s="121"/>
      <c r="D694" s="49"/>
      <c r="E694" s="49"/>
      <c r="F694" s="49"/>
    </row>
    <row r="695" spans="1:6">
      <c r="A695" s="120"/>
      <c r="B695" s="120"/>
      <c r="C695" s="121"/>
      <c r="D695" s="49"/>
      <c r="E695" s="49"/>
      <c r="F695" s="49"/>
    </row>
    <row r="696" spans="1:6">
      <c r="A696" s="120"/>
      <c r="B696" s="120"/>
      <c r="C696" s="121"/>
      <c r="D696" s="49"/>
      <c r="E696" s="49"/>
      <c r="F696" s="49"/>
    </row>
    <row r="697" spans="1:6">
      <c r="A697" s="120"/>
      <c r="B697" s="120"/>
      <c r="C697" s="121"/>
      <c r="D697" s="49"/>
      <c r="E697" s="49"/>
      <c r="F697" s="49"/>
    </row>
    <row r="698" spans="1:6">
      <c r="A698" s="120"/>
      <c r="B698" s="120"/>
      <c r="C698" s="121"/>
      <c r="D698" s="49"/>
      <c r="E698" s="49"/>
      <c r="F698" s="49"/>
    </row>
    <row r="699" spans="1:6">
      <c r="A699" s="120"/>
      <c r="B699" s="120"/>
      <c r="C699" s="121"/>
      <c r="D699" s="49"/>
      <c r="E699" s="49"/>
      <c r="F699" s="49"/>
    </row>
    <row r="700" spans="1:6">
      <c r="A700" s="120"/>
      <c r="B700" s="120"/>
      <c r="C700" s="121"/>
      <c r="D700" s="49"/>
      <c r="E700" s="49"/>
      <c r="F700" s="49"/>
    </row>
    <row r="701" spans="1:6">
      <c r="A701" s="120"/>
      <c r="B701" s="120"/>
      <c r="C701" s="121"/>
      <c r="D701" s="49"/>
      <c r="E701" s="49"/>
      <c r="F701" s="49"/>
    </row>
    <row r="702" spans="1:6">
      <c r="A702" s="120"/>
      <c r="B702" s="120"/>
      <c r="C702" s="121"/>
      <c r="D702" s="49"/>
      <c r="E702" s="49"/>
      <c r="F702" s="49"/>
    </row>
    <row r="703" spans="1:6">
      <c r="A703" s="120"/>
      <c r="B703" s="120"/>
      <c r="C703" s="121"/>
      <c r="D703" s="49"/>
      <c r="E703" s="49"/>
      <c r="F703" s="49"/>
    </row>
    <row r="704" spans="1:6">
      <c r="A704" s="120"/>
      <c r="B704" s="120"/>
      <c r="C704" s="121"/>
      <c r="D704" s="49"/>
      <c r="E704" s="49"/>
      <c r="F704" s="49"/>
    </row>
    <row r="705" spans="1:6">
      <c r="A705" s="120"/>
      <c r="B705" s="120"/>
      <c r="C705" s="121"/>
      <c r="D705" s="49"/>
      <c r="E705" s="49"/>
      <c r="F705" s="49"/>
    </row>
    <row r="706" spans="1:6">
      <c r="A706" s="120"/>
      <c r="B706" s="120"/>
      <c r="C706" s="121"/>
      <c r="D706" s="49"/>
      <c r="E706" s="49"/>
      <c r="F706" s="49"/>
    </row>
    <row r="707" spans="1:6">
      <c r="A707" s="120"/>
      <c r="B707" s="120"/>
      <c r="C707" s="121"/>
      <c r="D707" s="49"/>
      <c r="E707" s="49"/>
      <c r="F707" s="49"/>
    </row>
    <row r="708" spans="1:6">
      <c r="A708" s="120"/>
      <c r="B708" s="120"/>
      <c r="C708" s="121"/>
      <c r="D708" s="49"/>
      <c r="E708" s="49"/>
      <c r="F708" s="49"/>
    </row>
    <row r="709" spans="1:6">
      <c r="A709" s="120"/>
      <c r="B709" s="120"/>
      <c r="C709" s="121"/>
      <c r="D709" s="49"/>
      <c r="E709" s="49"/>
      <c r="F709" s="49"/>
    </row>
    <row r="710" spans="1:6">
      <c r="A710" s="120"/>
      <c r="B710" s="120"/>
      <c r="C710" s="121"/>
      <c r="D710" s="49"/>
      <c r="E710" s="49"/>
      <c r="F710" s="49"/>
    </row>
    <row r="711" spans="1:6">
      <c r="A711" s="120"/>
      <c r="B711" s="120"/>
      <c r="C711" s="121"/>
      <c r="D711" s="49"/>
      <c r="E711" s="49"/>
      <c r="F711" s="49"/>
    </row>
    <row r="712" spans="1:6">
      <c r="A712" s="120"/>
      <c r="B712" s="120"/>
      <c r="C712" s="121"/>
      <c r="D712" s="49"/>
      <c r="E712" s="49"/>
      <c r="F712" s="49"/>
    </row>
    <row r="713" spans="1:6">
      <c r="A713" s="120"/>
      <c r="B713" s="120"/>
      <c r="C713" s="121"/>
      <c r="D713" s="49"/>
      <c r="E713" s="49"/>
      <c r="F713" s="49"/>
    </row>
    <row r="714" spans="1:6">
      <c r="A714" s="120"/>
      <c r="B714" s="120"/>
      <c r="C714" s="121"/>
      <c r="D714" s="49"/>
      <c r="E714" s="49"/>
      <c r="F714" s="49"/>
    </row>
    <row r="715" spans="1:6">
      <c r="A715" s="120"/>
      <c r="B715" s="120"/>
      <c r="C715" s="121"/>
      <c r="D715" s="49"/>
      <c r="E715" s="49"/>
      <c r="F715" s="49"/>
    </row>
    <row r="716" spans="1:6">
      <c r="A716" s="120"/>
      <c r="B716" s="120"/>
      <c r="C716" s="121"/>
      <c r="D716" s="49"/>
      <c r="E716" s="49"/>
      <c r="F716" s="49"/>
    </row>
    <row r="717" spans="1:6">
      <c r="A717" s="120"/>
      <c r="B717" s="120"/>
      <c r="C717" s="121"/>
      <c r="D717" s="49"/>
      <c r="E717" s="49"/>
      <c r="F717" s="49"/>
    </row>
    <row r="718" spans="1:6">
      <c r="A718" s="120"/>
      <c r="B718" s="120"/>
      <c r="C718" s="121"/>
      <c r="D718" s="49"/>
      <c r="E718" s="49"/>
      <c r="F718" s="49"/>
    </row>
    <row r="719" spans="1:6">
      <c r="A719" s="120"/>
      <c r="B719" s="120"/>
      <c r="C719" s="121"/>
      <c r="D719" s="49"/>
      <c r="E719" s="49"/>
      <c r="F719" s="49"/>
    </row>
    <row r="720" spans="1:6">
      <c r="A720" s="120"/>
      <c r="B720" s="120"/>
      <c r="C720" s="121"/>
      <c r="D720" s="49"/>
      <c r="E720" s="49"/>
      <c r="F720" s="49"/>
    </row>
    <row r="721" spans="1:6">
      <c r="A721" s="120"/>
      <c r="B721" s="120"/>
      <c r="C721" s="121"/>
      <c r="D721" s="49"/>
      <c r="E721" s="49"/>
      <c r="F721" s="49"/>
    </row>
    <row r="722" spans="1:6">
      <c r="A722" s="120"/>
      <c r="B722" s="120"/>
      <c r="C722" s="121"/>
      <c r="D722" s="49"/>
      <c r="E722" s="49"/>
      <c r="F722" s="49"/>
    </row>
    <row r="723" spans="1:6">
      <c r="A723" s="120"/>
      <c r="B723" s="120"/>
      <c r="C723" s="121"/>
      <c r="D723" s="49"/>
      <c r="E723" s="49"/>
      <c r="F723" s="49"/>
    </row>
    <row r="724" spans="1:6">
      <c r="A724" s="120"/>
      <c r="B724" s="120"/>
      <c r="C724" s="121"/>
      <c r="D724" s="49"/>
      <c r="E724" s="49"/>
      <c r="F724" s="49"/>
    </row>
    <row r="725" spans="1:6">
      <c r="A725" s="120"/>
      <c r="B725" s="120"/>
      <c r="C725" s="121"/>
      <c r="D725" s="49"/>
      <c r="E725" s="49"/>
      <c r="F725" s="49"/>
    </row>
    <row r="726" spans="1:6">
      <c r="A726" s="120"/>
      <c r="B726" s="120"/>
      <c r="C726" s="121"/>
      <c r="D726" s="49"/>
      <c r="E726" s="49"/>
      <c r="F726" s="49"/>
    </row>
    <row r="727" spans="1:6">
      <c r="A727" s="120"/>
      <c r="B727" s="120"/>
      <c r="C727" s="121"/>
      <c r="D727" s="49"/>
      <c r="E727" s="49"/>
      <c r="F727" s="49"/>
    </row>
    <row r="728" spans="1:6">
      <c r="A728" s="120"/>
      <c r="B728" s="120"/>
      <c r="C728" s="121"/>
      <c r="D728" s="49"/>
      <c r="E728" s="49"/>
      <c r="F728" s="49"/>
    </row>
    <row r="729" spans="1:6">
      <c r="A729" s="120"/>
      <c r="B729" s="120"/>
      <c r="C729" s="121"/>
      <c r="D729" s="49"/>
      <c r="E729" s="49"/>
      <c r="F729" s="49"/>
    </row>
    <row r="730" spans="1:6">
      <c r="A730" s="120"/>
      <c r="B730" s="120"/>
      <c r="C730" s="121"/>
      <c r="D730" s="49"/>
      <c r="E730" s="49"/>
      <c r="F730" s="49"/>
    </row>
    <row r="731" spans="1:6">
      <c r="A731" s="120"/>
      <c r="B731" s="120"/>
      <c r="C731" s="121"/>
      <c r="D731" s="49"/>
      <c r="E731" s="49"/>
      <c r="F731" s="49"/>
    </row>
    <row r="732" spans="1:6">
      <c r="A732" s="120"/>
      <c r="B732" s="120"/>
      <c r="C732" s="121"/>
      <c r="D732" s="49"/>
      <c r="E732" s="49"/>
      <c r="F732" s="49"/>
    </row>
    <row r="733" spans="1:6">
      <c r="A733" s="120"/>
      <c r="B733" s="120"/>
      <c r="C733" s="121"/>
      <c r="D733" s="49"/>
      <c r="E733" s="49"/>
      <c r="F733" s="49"/>
    </row>
    <row r="734" spans="1:6">
      <c r="A734" s="120"/>
      <c r="B734" s="120"/>
      <c r="C734" s="121"/>
      <c r="D734" s="49"/>
      <c r="E734" s="49"/>
      <c r="F734" s="49"/>
    </row>
    <row r="735" spans="1:6">
      <c r="A735" s="120"/>
      <c r="B735" s="120"/>
      <c r="C735" s="121"/>
      <c r="D735" s="49"/>
      <c r="E735" s="49"/>
      <c r="F735" s="49"/>
    </row>
    <row r="736" spans="1:6">
      <c r="A736" s="120"/>
      <c r="B736" s="120"/>
      <c r="C736" s="121"/>
      <c r="D736" s="49"/>
      <c r="E736" s="49"/>
      <c r="F736" s="49"/>
    </row>
    <row r="737" spans="1:6">
      <c r="A737" s="120"/>
      <c r="B737" s="120"/>
      <c r="C737" s="121"/>
      <c r="D737" s="49"/>
      <c r="E737" s="49"/>
      <c r="F737" s="49"/>
    </row>
    <row r="738" spans="1:6">
      <c r="A738" s="120"/>
      <c r="B738" s="120"/>
      <c r="C738" s="121"/>
      <c r="D738" s="49"/>
      <c r="E738" s="49"/>
      <c r="F738" s="49"/>
    </row>
    <row r="739" spans="1:6">
      <c r="A739" s="120"/>
      <c r="B739" s="120"/>
      <c r="C739" s="121"/>
      <c r="D739" s="49"/>
      <c r="E739" s="49"/>
      <c r="F739" s="49"/>
    </row>
    <row r="740" spans="1:6">
      <c r="A740" s="120"/>
      <c r="B740" s="120"/>
      <c r="C740" s="121"/>
      <c r="D740" s="49"/>
      <c r="E740" s="49"/>
      <c r="F740" s="49"/>
    </row>
    <row r="741" spans="1:6">
      <c r="A741" s="120"/>
      <c r="B741" s="120"/>
      <c r="C741" s="121"/>
      <c r="D741" s="49"/>
      <c r="E741" s="49"/>
      <c r="F741" s="49"/>
    </row>
    <row r="742" spans="1:6">
      <c r="A742" s="120"/>
      <c r="B742" s="120"/>
      <c r="C742" s="121"/>
      <c r="D742" s="49"/>
      <c r="E742" s="49"/>
      <c r="F742" s="49"/>
    </row>
    <row r="743" spans="1:6">
      <c r="A743" s="120"/>
      <c r="B743" s="120"/>
      <c r="C743" s="121"/>
      <c r="D743" s="49"/>
      <c r="E743" s="49"/>
      <c r="F743" s="49"/>
    </row>
    <row r="744" spans="1:6">
      <c r="A744" s="120"/>
      <c r="B744" s="120"/>
      <c r="C744" s="121"/>
      <c r="D744" s="49"/>
      <c r="E744" s="49"/>
      <c r="F744" s="49"/>
    </row>
    <row r="745" spans="1:6">
      <c r="A745" s="120"/>
      <c r="B745" s="120"/>
      <c r="C745" s="121"/>
      <c r="D745" s="49"/>
      <c r="E745" s="49"/>
      <c r="F745" s="49"/>
    </row>
    <row r="746" spans="1:6">
      <c r="A746" s="120"/>
      <c r="B746" s="120"/>
      <c r="C746" s="121"/>
      <c r="D746" s="49"/>
      <c r="E746" s="49"/>
      <c r="F746" s="49"/>
    </row>
    <row r="747" spans="1:6">
      <c r="A747" s="120"/>
      <c r="B747" s="120"/>
      <c r="C747" s="121"/>
      <c r="D747" s="49"/>
      <c r="E747" s="49"/>
      <c r="F747" s="49"/>
    </row>
    <row r="748" spans="1:6">
      <c r="A748" s="120"/>
      <c r="B748" s="120"/>
      <c r="C748" s="121"/>
      <c r="D748" s="49"/>
      <c r="E748" s="49"/>
      <c r="F748" s="49"/>
    </row>
    <row r="749" spans="1:6">
      <c r="A749" s="120"/>
      <c r="B749" s="120"/>
      <c r="C749" s="121"/>
      <c r="D749" s="49"/>
      <c r="E749" s="49"/>
      <c r="F749" s="49"/>
    </row>
    <row r="750" spans="1:6">
      <c r="A750" s="120"/>
      <c r="B750" s="120"/>
      <c r="C750" s="121"/>
      <c r="D750" s="49"/>
      <c r="E750" s="49"/>
      <c r="F750" s="49"/>
    </row>
    <row r="751" spans="1:6">
      <c r="A751" s="120"/>
      <c r="B751" s="120"/>
      <c r="C751" s="121"/>
      <c r="D751" s="49"/>
      <c r="E751" s="49"/>
      <c r="F751" s="49"/>
    </row>
    <row r="752" spans="1:6">
      <c r="A752" s="120"/>
      <c r="B752" s="120"/>
      <c r="C752" s="121"/>
      <c r="D752" s="49"/>
      <c r="E752" s="49"/>
      <c r="F752" s="49"/>
    </row>
    <row r="753" spans="1:6">
      <c r="A753" s="120"/>
      <c r="B753" s="120"/>
      <c r="C753" s="121"/>
      <c r="D753" s="49"/>
      <c r="E753" s="49"/>
      <c r="F753" s="49"/>
    </row>
    <row r="754" spans="1:6">
      <c r="A754" s="120"/>
      <c r="B754" s="120"/>
      <c r="C754" s="121"/>
      <c r="D754" s="49"/>
      <c r="E754" s="49"/>
      <c r="F754" s="49"/>
    </row>
    <row r="755" spans="1:6">
      <c r="A755" s="120"/>
      <c r="B755" s="120"/>
      <c r="C755" s="121"/>
      <c r="D755" s="49"/>
      <c r="E755" s="49"/>
      <c r="F755" s="49"/>
    </row>
    <row r="756" spans="1:6">
      <c r="A756" s="120"/>
      <c r="B756" s="120"/>
      <c r="C756" s="121"/>
      <c r="D756" s="49"/>
      <c r="E756" s="49"/>
      <c r="F756" s="49"/>
    </row>
    <row r="757" spans="1:6">
      <c r="A757" s="120"/>
      <c r="B757" s="120"/>
      <c r="C757" s="121"/>
      <c r="D757" s="49"/>
      <c r="E757" s="49"/>
      <c r="F757" s="49"/>
    </row>
    <row r="758" spans="1:6">
      <c r="A758" s="120"/>
      <c r="B758" s="120"/>
      <c r="C758" s="121"/>
      <c r="D758" s="49"/>
      <c r="E758" s="49"/>
      <c r="F758" s="49"/>
    </row>
    <row r="759" spans="1:6">
      <c r="A759" s="120"/>
      <c r="B759" s="120"/>
      <c r="C759" s="121"/>
      <c r="D759" s="49"/>
      <c r="E759" s="49"/>
      <c r="F759" s="49"/>
    </row>
    <row r="760" spans="1:6">
      <c r="A760" s="120"/>
      <c r="B760" s="120"/>
      <c r="C760" s="121"/>
      <c r="D760" s="49"/>
      <c r="E760" s="49"/>
      <c r="F760" s="49"/>
    </row>
    <row r="761" spans="1:6">
      <c r="A761" s="120"/>
      <c r="B761" s="120"/>
      <c r="C761" s="121"/>
      <c r="D761" s="49"/>
      <c r="E761" s="49"/>
      <c r="F761" s="49"/>
    </row>
    <row r="762" spans="1:6">
      <c r="A762" s="120"/>
      <c r="B762" s="120"/>
      <c r="C762" s="121"/>
      <c r="D762" s="49"/>
      <c r="E762" s="49"/>
      <c r="F762" s="49"/>
    </row>
    <row r="763" spans="1:6">
      <c r="A763" s="120"/>
      <c r="B763" s="120"/>
      <c r="C763" s="121"/>
      <c r="D763" s="49"/>
      <c r="E763" s="49"/>
      <c r="F763" s="49"/>
    </row>
    <row r="764" spans="1:6">
      <c r="A764" s="120"/>
      <c r="B764" s="120"/>
      <c r="C764" s="121"/>
      <c r="D764" s="49"/>
      <c r="E764" s="49"/>
      <c r="F764" s="49"/>
    </row>
    <row r="765" spans="1:6">
      <c r="A765" s="120"/>
      <c r="B765" s="120"/>
      <c r="C765" s="121"/>
      <c r="D765" s="49"/>
      <c r="E765" s="49"/>
      <c r="F765" s="49"/>
    </row>
    <row r="766" spans="1:6">
      <c r="A766" s="120"/>
      <c r="B766" s="120"/>
      <c r="C766" s="121"/>
      <c r="D766" s="49"/>
      <c r="E766" s="49"/>
      <c r="F766" s="49"/>
    </row>
    <row r="767" spans="1:6">
      <c r="A767" s="120"/>
      <c r="B767" s="120"/>
      <c r="C767" s="121"/>
      <c r="D767" s="49"/>
      <c r="E767" s="49"/>
      <c r="F767" s="49"/>
    </row>
    <row r="768" spans="1:6">
      <c r="A768" s="120"/>
      <c r="B768" s="120"/>
      <c r="C768" s="121"/>
      <c r="D768" s="49"/>
      <c r="E768" s="49"/>
      <c r="F768" s="49"/>
    </row>
    <row r="769" spans="1:6">
      <c r="A769" s="120"/>
      <c r="B769" s="120"/>
      <c r="C769" s="121"/>
      <c r="D769" s="49"/>
      <c r="E769" s="49"/>
      <c r="F769" s="49"/>
    </row>
    <row r="770" spans="1:6">
      <c r="A770" s="120"/>
      <c r="B770" s="120"/>
      <c r="C770" s="121"/>
      <c r="D770" s="49"/>
      <c r="E770" s="49"/>
      <c r="F770" s="49"/>
    </row>
    <row r="771" spans="1:6">
      <c r="A771" s="120"/>
      <c r="B771" s="120"/>
      <c r="C771" s="121"/>
      <c r="D771" s="49"/>
      <c r="E771" s="49"/>
      <c r="F771" s="49"/>
    </row>
    <row r="772" spans="1:6">
      <c r="A772" s="120"/>
      <c r="B772" s="120"/>
      <c r="C772" s="121"/>
      <c r="D772" s="49"/>
      <c r="E772" s="49"/>
      <c r="F772" s="49"/>
    </row>
    <row r="773" spans="1:6">
      <c r="A773" s="120"/>
      <c r="B773" s="120"/>
      <c r="C773" s="121"/>
      <c r="D773" s="49"/>
      <c r="E773" s="49"/>
      <c r="F773" s="49"/>
    </row>
    <row r="774" spans="1:6">
      <c r="A774" s="120"/>
      <c r="B774" s="120"/>
      <c r="C774" s="121"/>
      <c r="D774" s="49"/>
      <c r="E774" s="49"/>
      <c r="F774" s="49"/>
    </row>
    <row r="775" spans="1:6">
      <c r="A775" s="120"/>
      <c r="B775" s="120"/>
      <c r="C775" s="121"/>
      <c r="D775" s="49"/>
      <c r="E775" s="49"/>
      <c r="F775" s="49"/>
    </row>
    <row r="776" spans="1:6">
      <c r="A776" s="120"/>
      <c r="B776" s="120"/>
      <c r="C776" s="121"/>
      <c r="D776" s="49"/>
      <c r="E776" s="49"/>
      <c r="F776" s="49"/>
    </row>
    <row r="777" spans="1:6">
      <c r="A777" s="120"/>
      <c r="B777" s="120"/>
      <c r="C777" s="121"/>
      <c r="D777" s="49"/>
      <c r="E777" s="49"/>
      <c r="F777" s="49"/>
    </row>
    <row r="778" spans="1:6">
      <c r="A778" s="120"/>
      <c r="B778" s="120"/>
      <c r="C778" s="121"/>
      <c r="D778" s="49"/>
      <c r="E778" s="49"/>
      <c r="F778" s="49"/>
    </row>
    <row r="779" spans="1:6">
      <c r="A779" s="120"/>
      <c r="B779" s="120"/>
      <c r="C779" s="121"/>
      <c r="D779" s="49"/>
      <c r="E779" s="49"/>
      <c r="F779" s="49"/>
    </row>
    <row r="780" spans="1:6">
      <c r="A780" s="120"/>
      <c r="B780" s="120"/>
      <c r="C780" s="121"/>
      <c r="D780" s="49"/>
      <c r="E780" s="49"/>
      <c r="F780" s="49"/>
    </row>
    <row r="781" spans="1:6">
      <c r="A781" s="120"/>
      <c r="B781" s="120"/>
      <c r="C781" s="121"/>
      <c r="D781" s="49"/>
      <c r="E781" s="49"/>
      <c r="F781" s="49"/>
    </row>
    <row r="782" spans="1:6">
      <c r="A782" s="120"/>
      <c r="B782" s="120"/>
      <c r="C782" s="121"/>
      <c r="D782" s="49"/>
      <c r="E782" s="49"/>
      <c r="F782" s="49"/>
    </row>
    <row r="783" spans="1:6">
      <c r="A783" s="120"/>
      <c r="B783" s="120"/>
      <c r="C783" s="121"/>
      <c r="D783" s="49"/>
      <c r="E783" s="49"/>
      <c r="F783" s="49"/>
    </row>
    <row r="784" spans="1:6">
      <c r="A784" s="120"/>
      <c r="B784" s="120"/>
      <c r="C784" s="121"/>
      <c r="D784" s="49"/>
      <c r="E784" s="49"/>
      <c r="F784" s="49"/>
    </row>
    <row r="785" spans="1:6">
      <c r="A785" s="120"/>
      <c r="B785" s="120"/>
      <c r="C785" s="121"/>
      <c r="D785" s="49"/>
      <c r="E785" s="49"/>
      <c r="F785" s="49"/>
    </row>
    <row r="786" spans="1:6">
      <c r="A786" s="120"/>
      <c r="B786" s="120"/>
      <c r="C786" s="121"/>
      <c r="D786" s="49"/>
      <c r="E786" s="49"/>
      <c r="F786" s="49"/>
    </row>
    <row r="787" spans="1:6">
      <c r="A787" s="120"/>
      <c r="B787" s="120"/>
      <c r="C787" s="121"/>
      <c r="D787" s="49"/>
      <c r="E787" s="49"/>
      <c r="F787" s="49"/>
    </row>
    <row r="788" spans="1:6">
      <c r="A788" s="120"/>
      <c r="B788" s="120"/>
      <c r="C788" s="121"/>
      <c r="D788" s="49"/>
      <c r="E788" s="49"/>
      <c r="F788" s="49"/>
    </row>
    <row r="789" spans="1:6">
      <c r="A789" s="120"/>
      <c r="B789" s="120"/>
      <c r="C789" s="121"/>
      <c r="D789" s="49"/>
      <c r="E789" s="49"/>
      <c r="F789" s="49"/>
    </row>
    <row r="790" spans="1:6">
      <c r="A790" s="120"/>
      <c r="B790" s="120"/>
      <c r="C790" s="121"/>
      <c r="D790" s="49"/>
      <c r="E790" s="49"/>
      <c r="F790" s="49"/>
    </row>
    <row r="791" spans="1:6">
      <c r="A791" s="120"/>
      <c r="B791" s="120"/>
      <c r="C791" s="121"/>
      <c r="D791" s="49"/>
      <c r="E791" s="49"/>
      <c r="F791" s="49"/>
    </row>
    <row r="792" spans="1:6">
      <c r="A792" s="120"/>
      <c r="B792" s="120"/>
      <c r="C792" s="121"/>
      <c r="D792" s="49"/>
      <c r="E792" s="49"/>
      <c r="F792" s="49"/>
    </row>
    <row r="793" spans="1:6">
      <c r="A793" s="120"/>
      <c r="B793" s="120"/>
      <c r="C793" s="121"/>
      <c r="D793" s="49"/>
      <c r="E793" s="49"/>
      <c r="F793" s="49"/>
    </row>
    <row r="794" spans="1:6">
      <c r="A794" s="120"/>
      <c r="B794" s="120"/>
      <c r="C794" s="121"/>
      <c r="D794" s="49"/>
      <c r="E794" s="49"/>
      <c r="F794" s="49"/>
    </row>
    <row r="795" spans="1:6">
      <c r="A795" s="120"/>
      <c r="B795" s="120"/>
      <c r="C795" s="121"/>
      <c r="D795" s="49"/>
      <c r="E795" s="49"/>
      <c r="F795" s="49"/>
    </row>
    <row r="796" spans="1:6">
      <c r="A796" s="120"/>
      <c r="B796" s="120"/>
      <c r="C796" s="121"/>
      <c r="D796" s="49"/>
      <c r="E796" s="49"/>
      <c r="F796" s="49"/>
    </row>
    <row r="797" spans="1:6">
      <c r="A797" s="120"/>
      <c r="B797" s="120"/>
      <c r="C797" s="121"/>
      <c r="D797" s="49"/>
      <c r="E797" s="49"/>
      <c r="F797" s="49"/>
    </row>
    <row r="798" spans="1:6">
      <c r="A798" s="120"/>
      <c r="B798" s="120"/>
      <c r="C798" s="121"/>
      <c r="D798" s="49"/>
      <c r="E798" s="49"/>
      <c r="F798" s="49"/>
    </row>
    <row r="799" spans="1:6">
      <c r="A799" s="120"/>
      <c r="B799" s="120"/>
      <c r="C799" s="121"/>
      <c r="D799" s="49"/>
      <c r="E799" s="49"/>
      <c r="F799" s="49"/>
    </row>
    <row r="800" spans="1:6">
      <c r="A800" s="120"/>
      <c r="B800" s="120"/>
      <c r="C800" s="121"/>
      <c r="D800" s="49"/>
      <c r="E800" s="49"/>
      <c r="F800" s="49"/>
    </row>
    <row r="801" spans="1:6">
      <c r="A801" s="120"/>
      <c r="B801" s="120"/>
      <c r="C801" s="121"/>
      <c r="D801" s="49"/>
      <c r="E801" s="49"/>
      <c r="F801" s="49"/>
    </row>
    <row r="802" spans="1:6">
      <c r="A802" s="120"/>
      <c r="B802" s="120"/>
      <c r="C802" s="121"/>
      <c r="D802" s="49"/>
      <c r="E802" s="49"/>
      <c r="F802" s="49"/>
    </row>
    <row r="803" spans="1:6">
      <c r="A803" s="120"/>
      <c r="B803" s="120"/>
      <c r="C803" s="121"/>
      <c r="D803" s="49"/>
      <c r="E803" s="49"/>
      <c r="F803" s="49"/>
    </row>
    <row r="804" spans="1:6">
      <c r="A804" s="120"/>
      <c r="B804" s="120"/>
      <c r="C804" s="121"/>
      <c r="D804" s="49"/>
      <c r="E804" s="49"/>
      <c r="F804" s="49"/>
    </row>
    <row r="805" spans="1:6">
      <c r="A805" s="120"/>
      <c r="B805" s="120"/>
      <c r="C805" s="121"/>
      <c r="D805" s="49"/>
      <c r="E805" s="49"/>
      <c r="F805" s="49"/>
    </row>
    <row r="806" spans="1:6">
      <c r="A806" s="120"/>
      <c r="B806" s="120"/>
      <c r="C806" s="121"/>
      <c r="D806" s="49"/>
      <c r="E806" s="49"/>
      <c r="F806" s="49"/>
    </row>
    <row r="807" spans="1:6">
      <c r="A807" s="120"/>
      <c r="B807" s="120"/>
      <c r="C807" s="121"/>
      <c r="D807" s="49"/>
      <c r="E807" s="49"/>
      <c r="F807" s="49"/>
    </row>
    <row r="808" spans="1:6">
      <c r="A808" s="120"/>
      <c r="B808" s="120"/>
      <c r="C808" s="121"/>
      <c r="D808" s="49"/>
      <c r="E808" s="49"/>
      <c r="F808" s="49"/>
    </row>
    <row r="809" spans="1:6">
      <c r="A809" s="120"/>
      <c r="B809" s="120"/>
      <c r="C809" s="121"/>
      <c r="D809" s="49"/>
      <c r="E809" s="49"/>
      <c r="F809" s="49"/>
    </row>
    <row r="810" spans="1:6">
      <c r="A810" s="120"/>
      <c r="B810" s="120"/>
      <c r="C810" s="121"/>
      <c r="D810" s="49"/>
      <c r="E810" s="49"/>
      <c r="F810" s="49"/>
    </row>
    <row r="811" spans="1:6">
      <c r="A811" s="120"/>
      <c r="B811" s="120"/>
      <c r="C811" s="121"/>
      <c r="D811" s="49"/>
      <c r="E811" s="49"/>
      <c r="F811" s="49"/>
    </row>
    <row r="812" spans="1:6">
      <c r="A812" s="120"/>
      <c r="B812" s="120"/>
      <c r="C812" s="121"/>
      <c r="D812" s="49"/>
      <c r="E812" s="49"/>
      <c r="F812" s="49"/>
    </row>
    <row r="813" spans="1:6">
      <c r="A813" s="120"/>
      <c r="B813" s="120"/>
      <c r="C813" s="121"/>
      <c r="D813" s="49"/>
      <c r="E813" s="49"/>
      <c r="F813" s="49"/>
    </row>
    <row r="814" spans="1:6">
      <c r="A814" s="120"/>
      <c r="B814" s="120"/>
      <c r="C814" s="121"/>
      <c r="D814" s="49"/>
      <c r="E814" s="49"/>
      <c r="F814" s="49"/>
    </row>
    <row r="815" spans="1:6">
      <c r="A815" s="120"/>
      <c r="B815" s="120"/>
      <c r="C815" s="121"/>
      <c r="D815" s="49"/>
      <c r="E815" s="49"/>
      <c r="F815" s="49"/>
    </row>
    <row r="816" spans="1:6">
      <c r="A816" s="120"/>
      <c r="B816" s="120"/>
      <c r="C816" s="121"/>
      <c r="D816" s="49"/>
      <c r="E816" s="49"/>
      <c r="F816" s="49"/>
    </row>
    <row r="817" spans="1:6">
      <c r="A817" s="120"/>
      <c r="B817" s="120"/>
      <c r="C817" s="121"/>
      <c r="D817" s="49"/>
      <c r="E817" s="49"/>
      <c r="F817" s="49"/>
    </row>
    <row r="818" spans="1:6">
      <c r="A818" s="120"/>
      <c r="B818" s="120"/>
      <c r="C818" s="121"/>
      <c r="D818" s="49"/>
      <c r="E818" s="49"/>
      <c r="F818" s="49"/>
    </row>
    <row r="819" spans="1:6">
      <c r="A819" s="120"/>
      <c r="B819" s="120"/>
      <c r="C819" s="121"/>
      <c r="D819" s="49"/>
      <c r="E819" s="49"/>
      <c r="F819" s="49"/>
    </row>
    <row r="820" spans="1:6">
      <c r="A820" s="120"/>
      <c r="B820" s="120"/>
      <c r="C820" s="121"/>
      <c r="D820" s="49"/>
      <c r="E820" s="49"/>
      <c r="F820" s="49"/>
    </row>
    <row r="821" spans="1:6">
      <c r="A821" s="120"/>
      <c r="B821" s="120"/>
      <c r="C821" s="121"/>
      <c r="D821" s="49"/>
      <c r="E821" s="49"/>
      <c r="F821" s="49"/>
    </row>
    <row r="822" spans="1:6">
      <c r="A822" s="120"/>
      <c r="B822" s="120"/>
      <c r="C822" s="121"/>
      <c r="D822" s="49"/>
      <c r="E822" s="49"/>
      <c r="F822" s="49"/>
    </row>
    <row r="823" spans="1:6">
      <c r="A823" s="120"/>
      <c r="B823" s="120"/>
      <c r="C823" s="121"/>
      <c r="D823" s="49"/>
      <c r="E823" s="49"/>
      <c r="F823" s="49"/>
    </row>
    <row r="824" spans="1:6">
      <c r="A824" s="120"/>
      <c r="B824" s="120"/>
      <c r="C824" s="121"/>
      <c r="D824" s="49"/>
      <c r="E824" s="49"/>
      <c r="F824" s="49"/>
    </row>
    <row r="825" spans="1:6">
      <c r="A825" s="120"/>
      <c r="B825" s="120"/>
      <c r="C825" s="121"/>
      <c r="D825" s="49"/>
      <c r="E825" s="49"/>
      <c r="F825" s="49"/>
    </row>
    <row r="826" spans="1:6">
      <c r="A826" s="120"/>
      <c r="B826" s="120"/>
      <c r="C826" s="121"/>
      <c r="D826" s="49"/>
      <c r="E826" s="49"/>
      <c r="F826" s="49"/>
    </row>
    <row r="827" spans="1:6">
      <c r="A827" s="120"/>
      <c r="B827" s="120"/>
      <c r="C827" s="121"/>
      <c r="D827" s="49"/>
      <c r="E827" s="49"/>
      <c r="F827" s="49"/>
    </row>
    <row r="828" spans="1:6">
      <c r="A828" s="120"/>
      <c r="B828" s="120"/>
      <c r="C828" s="121"/>
      <c r="D828" s="49"/>
      <c r="E828" s="49"/>
      <c r="F828" s="49"/>
    </row>
    <row r="829" spans="1:6">
      <c r="A829" s="120"/>
      <c r="B829" s="120"/>
      <c r="C829" s="121"/>
      <c r="D829" s="49"/>
      <c r="E829" s="49"/>
      <c r="F829" s="49"/>
    </row>
    <row r="830" spans="1:6">
      <c r="A830" s="120"/>
      <c r="B830" s="120"/>
      <c r="C830" s="121"/>
      <c r="D830" s="49"/>
      <c r="E830" s="49"/>
      <c r="F830" s="49"/>
    </row>
    <row r="831" spans="1:6">
      <c r="A831" s="120"/>
      <c r="B831" s="120"/>
      <c r="C831" s="121"/>
      <c r="D831" s="49"/>
      <c r="E831" s="49"/>
      <c r="F831" s="49"/>
    </row>
    <row r="832" spans="1:6">
      <c r="A832" s="120"/>
      <c r="B832" s="120"/>
      <c r="C832" s="121"/>
      <c r="D832" s="49"/>
      <c r="E832" s="49"/>
      <c r="F832" s="49"/>
    </row>
    <row r="833" spans="1:6">
      <c r="A833" s="120"/>
      <c r="B833" s="120"/>
      <c r="C833" s="121"/>
      <c r="D833" s="49"/>
      <c r="E833" s="49"/>
      <c r="F833" s="49"/>
    </row>
    <row r="834" spans="1:6">
      <c r="A834" s="120"/>
      <c r="B834" s="120"/>
      <c r="C834" s="121"/>
      <c r="D834" s="49"/>
      <c r="E834" s="49"/>
      <c r="F834" s="49"/>
    </row>
    <row r="835" spans="1:6">
      <c r="A835" s="120"/>
      <c r="B835" s="120"/>
      <c r="C835" s="121"/>
      <c r="D835" s="49"/>
      <c r="E835" s="49"/>
      <c r="F835" s="49"/>
    </row>
    <row r="836" spans="1:6">
      <c r="A836" s="120"/>
      <c r="B836" s="120"/>
      <c r="C836" s="121"/>
      <c r="D836" s="49"/>
      <c r="E836" s="49"/>
      <c r="F836" s="49"/>
    </row>
    <row r="837" spans="1:6">
      <c r="A837" s="120"/>
      <c r="B837" s="120"/>
      <c r="C837" s="121"/>
      <c r="D837" s="49"/>
      <c r="E837" s="49"/>
      <c r="F837" s="49"/>
    </row>
    <row r="838" spans="1:6">
      <c r="A838" s="120"/>
      <c r="B838" s="120"/>
      <c r="C838" s="121"/>
      <c r="D838" s="49"/>
      <c r="E838" s="49"/>
      <c r="F838" s="49"/>
    </row>
    <row r="839" spans="1:6">
      <c r="A839" s="120"/>
      <c r="B839" s="120"/>
      <c r="C839" s="121"/>
      <c r="D839" s="49"/>
      <c r="E839" s="49"/>
      <c r="F839" s="49"/>
    </row>
    <row r="840" spans="1:6">
      <c r="A840" s="120"/>
      <c r="B840" s="120"/>
      <c r="C840" s="121"/>
      <c r="D840" s="49"/>
      <c r="E840" s="49"/>
      <c r="F840" s="49"/>
    </row>
    <row r="841" spans="1:6">
      <c r="A841" s="120"/>
      <c r="B841" s="120"/>
      <c r="C841" s="121"/>
      <c r="D841" s="49"/>
      <c r="E841" s="49"/>
      <c r="F841" s="49"/>
    </row>
    <row r="842" spans="1:6">
      <c r="A842" s="120"/>
      <c r="B842" s="120"/>
      <c r="C842" s="121"/>
      <c r="D842" s="49"/>
      <c r="E842" s="49"/>
      <c r="F842" s="49"/>
    </row>
    <row r="843" spans="1:6">
      <c r="A843" s="120"/>
      <c r="B843" s="120"/>
      <c r="C843" s="121"/>
      <c r="D843" s="49"/>
      <c r="E843" s="49"/>
      <c r="F843" s="49"/>
    </row>
    <row r="844" spans="1:6">
      <c r="A844" s="120"/>
      <c r="B844" s="120"/>
      <c r="C844" s="121"/>
      <c r="D844" s="49"/>
      <c r="E844" s="49"/>
      <c r="F844" s="49"/>
    </row>
    <row r="845" spans="1:6">
      <c r="A845" s="120"/>
      <c r="B845" s="120"/>
      <c r="C845" s="121"/>
      <c r="D845" s="49"/>
      <c r="E845" s="49"/>
      <c r="F845" s="49"/>
    </row>
    <row r="846" spans="1:6">
      <c r="A846" s="120"/>
      <c r="B846" s="120"/>
      <c r="C846" s="121"/>
      <c r="D846" s="49"/>
      <c r="E846" s="49"/>
      <c r="F846" s="49"/>
    </row>
    <row r="847" spans="1:6">
      <c r="A847" s="120"/>
      <c r="B847" s="120"/>
      <c r="C847" s="121"/>
      <c r="D847" s="49"/>
      <c r="E847" s="49"/>
      <c r="F847" s="49"/>
    </row>
    <row r="848" spans="1:6">
      <c r="A848" s="120"/>
      <c r="B848" s="120"/>
      <c r="C848" s="121"/>
      <c r="D848" s="49"/>
      <c r="E848" s="49"/>
      <c r="F848" s="49"/>
    </row>
    <row r="849" spans="1:6">
      <c r="A849" s="120"/>
      <c r="B849" s="120"/>
      <c r="C849" s="121"/>
      <c r="D849" s="49"/>
      <c r="E849" s="49"/>
      <c r="F849" s="49"/>
    </row>
    <row r="850" spans="1:6">
      <c r="A850" s="120"/>
      <c r="B850" s="120"/>
      <c r="C850" s="121"/>
      <c r="D850" s="49"/>
      <c r="E850" s="49"/>
      <c r="F850" s="49"/>
    </row>
    <row r="851" spans="1:6">
      <c r="A851" s="120"/>
      <c r="B851" s="120"/>
      <c r="C851" s="121"/>
      <c r="D851" s="49"/>
      <c r="E851" s="49"/>
      <c r="F851" s="49"/>
    </row>
    <row r="852" spans="1:6">
      <c r="A852" s="120"/>
      <c r="B852" s="120"/>
      <c r="C852" s="121"/>
      <c r="D852" s="49"/>
      <c r="E852" s="49"/>
      <c r="F852" s="49"/>
    </row>
    <row r="853" spans="1:6">
      <c r="A853" s="120"/>
      <c r="B853" s="120"/>
      <c r="C853" s="121"/>
      <c r="D853" s="49"/>
      <c r="E853" s="49"/>
      <c r="F853" s="49"/>
    </row>
    <row r="854" spans="1:6">
      <c r="A854" s="120"/>
      <c r="B854" s="120"/>
      <c r="C854" s="121"/>
      <c r="D854" s="49"/>
      <c r="E854" s="49"/>
      <c r="F854" s="49"/>
    </row>
    <row r="855" spans="1:6">
      <c r="A855" s="120"/>
      <c r="B855" s="120"/>
      <c r="C855" s="121"/>
      <c r="D855" s="49"/>
      <c r="E855" s="49"/>
      <c r="F855" s="49"/>
    </row>
    <row r="856" spans="1:6">
      <c r="A856" s="120"/>
      <c r="B856" s="120"/>
      <c r="C856" s="121"/>
      <c r="D856" s="49"/>
      <c r="E856" s="49"/>
      <c r="F856" s="49"/>
    </row>
    <row r="857" spans="1:6">
      <c r="A857" s="120"/>
      <c r="B857" s="120"/>
      <c r="C857" s="121"/>
      <c r="D857" s="49"/>
      <c r="E857" s="49"/>
      <c r="F857" s="49"/>
    </row>
    <row r="858" spans="1:6">
      <c r="A858" s="120"/>
      <c r="B858" s="120"/>
      <c r="C858" s="121"/>
      <c r="D858" s="49"/>
      <c r="E858" s="49"/>
      <c r="F858" s="49"/>
    </row>
    <row r="859" spans="1:6">
      <c r="A859" s="120"/>
      <c r="B859" s="120"/>
      <c r="C859" s="121"/>
      <c r="D859" s="49"/>
      <c r="E859" s="49"/>
      <c r="F859" s="49"/>
    </row>
    <row r="860" spans="1:6">
      <c r="A860" s="120"/>
      <c r="B860" s="120"/>
      <c r="C860" s="121"/>
      <c r="D860" s="49"/>
      <c r="E860" s="49"/>
      <c r="F860" s="49"/>
    </row>
    <row r="861" spans="1:6">
      <c r="A861" s="120"/>
      <c r="B861" s="120"/>
      <c r="C861" s="121"/>
      <c r="D861" s="49"/>
      <c r="E861" s="49"/>
      <c r="F861" s="49"/>
    </row>
    <row r="862" spans="1:6">
      <c r="A862" s="120"/>
      <c r="B862" s="120"/>
      <c r="C862" s="121"/>
      <c r="D862" s="49"/>
      <c r="E862" s="49"/>
      <c r="F862" s="49"/>
    </row>
    <row r="863" spans="1:6">
      <c r="A863" s="120"/>
      <c r="B863" s="120"/>
      <c r="C863" s="121"/>
      <c r="D863" s="49"/>
      <c r="E863" s="49"/>
      <c r="F863" s="49"/>
    </row>
    <row r="864" spans="1:6">
      <c r="A864" s="120"/>
      <c r="B864" s="120"/>
      <c r="C864" s="121"/>
      <c r="D864" s="49"/>
      <c r="E864" s="49"/>
      <c r="F864" s="49"/>
    </row>
    <row r="865" spans="1:6">
      <c r="A865" s="120"/>
      <c r="B865" s="120"/>
      <c r="C865" s="121"/>
      <c r="D865" s="49"/>
      <c r="E865" s="49"/>
      <c r="F865" s="49"/>
    </row>
    <row r="866" spans="1:6">
      <c r="A866" s="120"/>
      <c r="B866" s="120"/>
      <c r="C866" s="121"/>
      <c r="D866" s="49"/>
      <c r="E866" s="49"/>
      <c r="F866" s="49"/>
    </row>
    <row r="867" spans="1:6">
      <c r="A867" s="120"/>
      <c r="B867" s="120"/>
      <c r="C867" s="121"/>
      <c r="D867" s="49"/>
      <c r="E867" s="49"/>
      <c r="F867" s="49"/>
    </row>
    <row r="868" spans="1:6">
      <c r="A868" s="120"/>
      <c r="B868" s="120"/>
      <c r="C868" s="121"/>
      <c r="D868" s="49"/>
      <c r="E868" s="49"/>
      <c r="F868" s="49"/>
    </row>
    <row r="869" spans="1:6">
      <c r="A869" s="120"/>
      <c r="B869" s="120"/>
      <c r="C869" s="121"/>
      <c r="D869" s="49"/>
      <c r="E869" s="49"/>
      <c r="F869" s="49"/>
    </row>
    <row r="870" spans="1:6">
      <c r="A870" s="120"/>
      <c r="B870" s="120"/>
      <c r="C870" s="121"/>
      <c r="D870" s="49"/>
      <c r="E870" s="49"/>
      <c r="F870" s="49"/>
    </row>
    <row r="871" spans="1:6">
      <c r="A871" s="120"/>
      <c r="B871" s="120"/>
      <c r="C871" s="121"/>
      <c r="D871" s="49"/>
      <c r="E871" s="49"/>
      <c r="F871" s="49"/>
    </row>
    <row r="872" spans="1:6">
      <c r="A872" s="120"/>
      <c r="B872" s="120"/>
      <c r="C872" s="121"/>
      <c r="D872" s="49"/>
      <c r="E872" s="49"/>
      <c r="F872" s="49"/>
    </row>
    <row r="873" spans="1:6">
      <c r="A873" s="120"/>
      <c r="B873" s="120"/>
      <c r="C873" s="121"/>
      <c r="D873" s="49"/>
      <c r="E873" s="49"/>
      <c r="F873" s="49"/>
    </row>
    <row r="874" spans="1:6">
      <c r="A874" s="120"/>
      <c r="B874" s="120"/>
      <c r="C874" s="121"/>
      <c r="D874" s="49"/>
      <c r="E874" s="49"/>
      <c r="F874" s="49"/>
    </row>
    <row r="875" spans="1:6">
      <c r="A875" s="120"/>
      <c r="B875" s="120"/>
      <c r="C875" s="121"/>
      <c r="D875" s="49"/>
      <c r="E875" s="49"/>
      <c r="F875" s="49"/>
    </row>
    <row r="876" spans="1:6">
      <c r="A876" s="120"/>
      <c r="B876" s="120"/>
      <c r="C876" s="121"/>
      <c r="D876" s="49"/>
      <c r="E876" s="49"/>
      <c r="F876" s="49"/>
    </row>
    <row r="877" spans="1:6">
      <c r="A877" s="120"/>
      <c r="B877" s="120"/>
      <c r="C877" s="121"/>
      <c r="D877" s="49"/>
      <c r="E877" s="49"/>
      <c r="F877" s="49"/>
    </row>
    <row r="878" spans="1:6">
      <c r="A878" s="120"/>
      <c r="B878" s="120"/>
      <c r="C878" s="121"/>
      <c r="D878" s="49"/>
      <c r="E878" s="49"/>
      <c r="F878" s="49"/>
    </row>
    <row r="879" spans="1:6">
      <c r="A879" s="120"/>
      <c r="B879" s="120"/>
      <c r="C879" s="121"/>
      <c r="D879" s="49"/>
      <c r="E879" s="49"/>
      <c r="F879" s="49"/>
    </row>
    <row r="880" spans="1:6">
      <c r="A880" s="120"/>
      <c r="B880" s="120"/>
      <c r="C880" s="121"/>
      <c r="D880" s="49"/>
      <c r="E880" s="49"/>
      <c r="F880" s="49"/>
    </row>
    <row r="881" spans="1:6">
      <c r="A881" s="120"/>
      <c r="B881" s="120"/>
      <c r="C881" s="121"/>
      <c r="D881" s="49"/>
      <c r="E881" s="49"/>
      <c r="F881" s="49"/>
    </row>
    <row r="882" spans="1:6">
      <c r="A882" s="120"/>
      <c r="B882" s="120"/>
      <c r="C882" s="121"/>
      <c r="D882" s="49"/>
      <c r="E882" s="49"/>
      <c r="F882" s="49"/>
    </row>
    <row r="883" spans="1:6">
      <c r="A883" s="120"/>
      <c r="B883" s="120"/>
      <c r="C883" s="121"/>
      <c r="D883" s="49"/>
      <c r="E883" s="49"/>
      <c r="F883" s="49"/>
    </row>
    <row r="884" spans="1:6">
      <c r="A884" s="120"/>
      <c r="B884" s="120"/>
      <c r="C884" s="121"/>
      <c r="D884" s="49"/>
      <c r="E884" s="49"/>
      <c r="F884" s="49"/>
    </row>
    <row r="885" spans="1:6">
      <c r="A885" s="120"/>
      <c r="B885" s="120"/>
      <c r="C885" s="121"/>
      <c r="D885" s="49"/>
      <c r="E885" s="49"/>
      <c r="F885" s="49"/>
    </row>
    <row r="886" spans="1:6">
      <c r="A886" s="120"/>
      <c r="B886" s="120"/>
      <c r="C886" s="121"/>
      <c r="D886" s="49"/>
      <c r="E886" s="49"/>
      <c r="F886" s="49"/>
    </row>
    <row r="887" spans="1:6">
      <c r="A887" s="120"/>
      <c r="B887" s="120"/>
      <c r="C887" s="121"/>
      <c r="D887" s="49"/>
      <c r="E887" s="49"/>
      <c r="F887" s="49"/>
    </row>
    <row r="888" spans="1:6">
      <c r="A888" s="120"/>
      <c r="B888" s="120"/>
      <c r="C888" s="121"/>
      <c r="D888" s="49"/>
      <c r="E888" s="49"/>
      <c r="F888" s="49"/>
    </row>
    <row r="889" spans="1:6">
      <c r="A889" s="120"/>
      <c r="B889" s="120"/>
      <c r="C889" s="121"/>
      <c r="D889" s="49"/>
      <c r="E889" s="49"/>
      <c r="F889" s="49"/>
    </row>
    <row r="890" spans="1:6">
      <c r="A890" s="120"/>
      <c r="B890" s="120"/>
      <c r="C890" s="121"/>
      <c r="D890" s="49"/>
      <c r="E890" s="49"/>
      <c r="F890" s="49"/>
    </row>
    <row r="891" spans="1:6">
      <c r="A891" s="120"/>
      <c r="B891" s="120"/>
      <c r="C891" s="121"/>
      <c r="D891" s="49"/>
      <c r="E891" s="49"/>
      <c r="F891" s="49"/>
    </row>
    <row r="892" spans="1:6">
      <c r="A892" s="120"/>
      <c r="B892" s="120"/>
      <c r="C892" s="121"/>
      <c r="D892" s="49"/>
      <c r="E892" s="49"/>
      <c r="F892" s="49"/>
    </row>
    <row r="893" spans="1:6">
      <c r="A893" s="120"/>
      <c r="B893" s="120"/>
      <c r="C893" s="121"/>
      <c r="D893" s="49"/>
      <c r="E893" s="49"/>
      <c r="F893" s="49"/>
    </row>
    <row r="894" spans="1:6">
      <c r="A894" s="120"/>
      <c r="B894" s="120"/>
      <c r="C894" s="121"/>
      <c r="D894" s="49"/>
      <c r="E894" s="49"/>
      <c r="F894" s="49"/>
    </row>
    <row r="895" spans="1:6">
      <c r="A895" s="120"/>
      <c r="B895" s="120"/>
      <c r="C895" s="121"/>
      <c r="D895" s="49"/>
      <c r="E895" s="49"/>
      <c r="F895" s="49"/>
    </row>
    <row r="896" spans="1:6">
      <c r="A896" s="120"/>
      <c r="B896" s="120"/>
      <c r="C896" s="121"/>
      <c r="D896" s="49"/>
      <c r="E896" s="49"/>
      <c r="F896" s="49"/>
    </row>
    <row r="897" spans="1:6">
      <c r="A897" s="120"/>
      <c r="B897" s="120"/>
      <c r="C897" s="121"/>
      <c r="D897" s="49"/>
      <c r="E897" s="49"/>
      <c r="F897" s="49"/>
    </row>
    <row r="898" spans="1:6">
      <c r="A898" s="120"/>
      <c r="B898" s="120"/>
      <c r="C898" s="121"/>
      <c r="D898" s="49"/>
      <c r="E898" s="49"/>
      <c r="F898" s="49"/>
    </row>
    <row r="899" spans="1:6">
      <c r="A899" s="120"/>
      <c r="B899" s="120"/>
      <c r="C899" s="121"/>
      <c r="D899" s="49"/>
      <c r="E899" s="49"/>
      <c r="F899" s="49"/>
    </row>
    <row r="900" spans="1:6">
      <c r="A900" s="120"/>
      <c r="B900" s="120"/>
      <c r="C900" s="121"/>
      <c r="D900" s="49"/>
      <c r="E900" s="49"/>
      <c r="F900" s="49"/>
    </row>
    <row r="901" spans="1:6">
      <c r="A901" s="120"/>
      <c r="B901" s="120"/>
      <c r="C901" s="121"/>
      <c r="D901" s="49"/>
      <c r="E901" s="49"/>
      <c r="F901" s="49"/>
    </row>
    <row r="902" spans="1:6">
      <c r="A902" s="120"/>
      <c r="B902" s="120"/>
      <c r="C902" s="121"/>
      <c r="D902" s="49"/>
      <c r="E902" s="49"/>
      <c r="F902" s="49"/>
    </row>
    <row r="903" spans="1:6">
      <c r="A903" s="120"/>
      <c r="B903" s="120"/>
      <c r="C903" s="121"/>
      <c r="D903" s="49"/>
      <c r="E903" s="49"/>
      <c r="F903" s="49"/>
    </row>
    <row r="904" spans="1:6">
      <c r="A904" s="120"/>
      <c r="B904" s="120"/>
      <c r="C904" s="121"/>
      <c r="D904" s="49"/>
      <c r="E904" s="49"/>
      <c r="F904" s="49"/>
    </row>
    <row r="905" spans="1:6">
      <c r="A905" s="120"/>
      <c r="B905" s="120"/>
      <c r="C905" s="121"/>
      <c r="D905" s="49"/>
      <c r="E905" s="49"/>
      <c r="F905" s="49"/>
    </row>
    <row r="906" spans="1:6">
      <c r="A906" s="120"/>
      <c r="B906" s="120"/>
      <c r="C906" s="121"/>
      <c r="D906" s="49"/>
      <c r="E906" s="49"/>
      <c r="F906" s="49"/>
    </row>
    <row r="907" spans="1:6">
      <c r="A907" s="120"/>
      <c r="B907" s="120"/>
      <c r="C907" s="121"/>
      <c r="D907" s="49"/>
      <c r="E907" s="49"/>
      <c r="F907" s="49"/>
    </row>
    <row r="908" spans="1:6">
      <c r="A908" s="120"/>
      <c r="B908" s="120"/>
      <c r="C908" s="121"/>
      <c r="D908" s="49"/>
      <c r="E908" s="49"/>
      <c r="F908" s="49"/>
    </row>
    <row r="909" spans="1:6">
      <c r="A909" s="120"/>
      <c r="B909" s="120"/>
      <c r="C909" s="121"/>
      <c r="D909" s="49"/>
      <c r="E909" s="49"/>
      <c r="F909" s="49"/>
    </row>
    <row r="910" spans="1:6">
      <c r="A910" s="120"/>
      <c r="B910" s="120"/>
      <c r="C910" s="121"/>
      <c r="D910" s="49"/>
      <c r="E910" s="49"/>
      <c r="F910" s="49"/>
    </row>
    <row r="911" spans="1:6">
      <c r="A911" s="120"/>
      <c r="B911" s="120"/>
      <c r="C911" s="121"/>
      <c r="D911" s="49"/>
      <c r="E911" s="49"/>
      <c r="F911" s="49"/>
    </row>
    <row r="912" spans="1:6">
      <c r="A912" s="120"/>
      <c r="B912" s="120"/>
      <c r="C912" s="121"/>
      <c r="D912" s="49"/>
      <c r="E912" s="49"/>
      <c r="F912" s="49"/>
    </row>
    <row r="913" spans="1:6">
      <c r="A913" s="120"/>
      <c r="B913" s="120"/>
      <c r="C913" s="121"/>
      <c r="D913" s="49"/>
      <c r="E913" s="49"/>
      <c r="F913" s="49"/>
    </row>
    <row r="914" spans="1:6">
      <c r="A914" s="120"/>
      <c r="B914" s="120"/>
      <c r="C914" s="121"/>
      <c r="D914" s="49"/>
      <c r="E914" s="49"/>
      <c r="F914" s="49"/>
    </row>
    <row r="915" spans="1:6">
      <c r="A915" s="120"/>
      <c r="B915" s="120"/>
      <c r="C915" s="121"/>
      <c r="D915" s="49"/>
      <c r="E915" s="49"/>
      <c r="F915" s="49"/>
    </row>
    <row r="916" spans="1:6">
      <c r="A916" s="120"/>
      <c r="B916" s="120"/>
      <c r="C916" s="121"/>
      <c r="D916" s="49"/>
      <c r="E916" s="49"/>
      <c r="F916" s="49"/>
    </row>
    <row r="917" spans="1:6">
      <c r="A917" s="120"/>
      <c r="B917" s="120"/>
      <c r="C917" s="121"/>
      <c r="D917" s="49"/>
      <c r="E917" s="49"/>
      <c r="F917" s="49"/>
    </row>
    <row r="918" spans="1:6">
      <c r="A918" s="120"/>
      <c r="B918" s="120"/>
      <c r="C918" s="121"/>
      <c r="D918" s="49"/>
      <c r="E918" s="49"/>
      <c r="F918" s="49"/>
    </row>
    <row r="919" spans="1:6">
      <c r="A919" s="120"/>
      <c r="B919" s="120"/>
      <c r="C919" s="121"/>
      <c r="D919" s="49"/>
      <c r="E919" s="49"/>
      <c r="F919" s="49"/>
    </row>
    <row r="920" spans="1:6">
      <c r="A920" s="120"/>
      <c r="B920" s="120"/>
      <c r="C920" s="121"/>
      <c r="D920" s="49"/>
      <c r="E920" s="49"/>
      <c r="F920" s="49"/>
    </row>
    <row r="921" spans="1:6">
      <c r="A921" s="120"/>
      <c r="B921" s="120"/>
      <c r="C921" s="121"/>
      <c r="D921" s="49"/>
      <c r="E921" s="49"/>
      <c r="F921" s="49"/>
    </row>
    <row r="922" spans="1:6">
      <c r="A922" s="120"/>
      <c r="B922" s="120"/>
      <c r="C922" s="121"/>
      <c r="D922" s="49"/>
      <c r="E922" s="49"/>
      <c r="F922" s="49"/>
    </row>
    <row r="923" spans="1:6">
      <c r="A923" s="120"/>
      <c r="B923" s="120"/>
      <c r="C923" s="121"/>
      <c r="D923" s="49"/>
      <c r="E923" s="49"/>
      <c r="F923" s="49"/>
    </row>
    <row r="924" spans="1:6">
      <c r="A924" s="120"/>
      <c r="B924" s="120"/>
      <c r="C924" s="121"/>
      <c r="D924" s="49"/>
      <c r="E924" s="49"/>
      <c r="F924" s="49"/>
    </row>
    <row r="925" spans="1:6">
      <c r="A925" s="120"/>
      <c r="B925" s="120"/>
      <c r="C925" s="121"/>
      <c r="D925" s="49"/>
      <c r="E925" s="49"/>
      <c r="F925" s="49"/>
    </row>
    <row r="926" spans="1:6">
      <c r="A926" s="120"/>
      <c r="B926" s="120"/>
      <c r="C926" s="121"/>
      <c r="D926" s="49"/>
      <c r="E926" s="49"/>
      <c r="F926" s="49"/>
    </row>
    <row r="927" spans="1:6">
      <c r="A927" s="120"/>
      <c r="B927" s="120"/>
      <c r="C927" s="121"/>
      <c r="D927" s="49"/>
      <c r="E927" s="49"/>
      <c r="F927" s="49"/>
    </row>
    <row r="928" spans="1:6">
      <c r="A928" s="120"/>
      <c r="B928" s="120"/>
      <c r="C928" s="121"/>
      <c r="D928" s="49"/>
      <c r="E928" s="49"/>
      <c r="F928" s="49"/>
    </row>
    <row r="929" spans="1:6">
      <c r="A929" s="120"/>
      <c r="B929" s="120"/>
      <c r="C929" s="121"/>
      <c r="D929" s="49"/>
      <c r="E929" s="49"/>
      <c r="F929" s="49"/>
    </row>
    <row r="930" spans="1:6">
      <c r="A930" s="120"/>
      <c r="B930" s="120"/>
      <c r="C930" s="121"/>
      <c r="D930" s="49"/>
      <c r="E930" s="49"/>
      <c r="F930" s="49"/>
    </row>
    <row r="931" spans="1:6">
      <c r="A931" s="120"/>
      <c r="B931" s="120"/>
      <c r="C931" s="121"/>
      <c r="D931" s="49"/>
      <c r="E931" s="49"/>
      <c r="F931" s="49"/>
    </row>
    <row r="932" spans="1:6">
      <c r="A932" s="120"/>
      <c r="B932" s="120"/>
      <c r="C932" s="121"/>
      <c r="D932" s="49"/>
      <c r="E932" s="49"/>
      <c r="F932" s="49"/>
    </row>
    <row r="933" spans="1:6">
      <c r="A933" s="120"/>
      <c r="B933" s="120"/>
      <c r="C933" s="121"/>
      <c r="D933" s="49"/>
      <c r="E933" s="49"/>
      <c r="F933" s="49"/>
    </row>
    <row r="934" spans="1:6">
      <c r="A934" s="120"/>
      <c r="B934" s="120"/>
      <c r="C934" s="121"/>
      <c r="D934" s="49"/>
      <c r="E934" s="49"/>
      <c r="F934" s="49"/>
    </row>
    <row r="935" spans="1:6">
      <c r="A935" s="120"/>
      <c r="B935" s="120"/>
      <c r="C935" s="121"/>
      <c r="D935" s="49"/>
      <c r="E935" s="49"/>
      <c r="F935" s="49"/>
    </row>
    <row r="936" spans="1:6">
      <c r="A936" s="120"/>
      <c r="B936" s="120"/>
      <c r="C936" s="121"/>
      <c r="D936" s="49"/>
      <c r="E936" s="49"/>
      <c r="F936" s="49"/>
    </row>
    <row r="937" spans="1:6">
      <c r="A937" s="120"/>
      <c r="B937" s="120"/>
      <c r="C937" s="121"/>
      <c r="D937" s="49"/>
      <c r="E937" s="49"/>
      <c r="F937" s="49"/>
    </row>
    <row r="938" spans="1:6">
      <c r="A938" s="120"/>
      <c r="B938" s="120"/>
      <c r="C938" s="121"/>
      <c r="D938" s="49"/>
      <c r="E938" s="49"/>
      <c r="F938" s="49"/>
    </row>
    <row r="939" spans="1:6">
      <c r="A939" s="120"/>
      <c r="B939" s="120"/>
      <c r="C939" s="121"/>
      <c r="D939" s="49"/>
      <c r="E939" s="49"/>
      <c r="F939" s="49"/>
    </row>
    <row r="940" spans="1:6">
      <c r="A940" s="120"/>
      <c r="B940" s="120"/>
      <c r="C940" s="121"/>
      <c r="D940" s="49"/>
      <c r="E940" s="49"/>
      <c r="F940" s="49"/>
    </row>
    <row r="941" spans="1:6">
      <c r="A941" s="120"/>
      <c r="B941" s="120"/>
      <c r="C941" s="121"/>
      <c r="D941" s="49"/>
      <c r="E941" s="49"/>
      <c r="F941" s="49"/>
    </row>
    <row r="942" spans="1:6">
      <c r="A942" s="120"/>
      <c r="B942" s="120"/>
      <c r="C942" s="121"/>
      <c r="D942" s="49"/>
      <c r="E942" s="49"/>
      <c r="F942" s="49"/>
    </row>
    <row r="943" spans="1:6">
      <c r="A943" s="120"/>
      <c r="B943" s="120"/>
      <c r="C943" s="121"/>
      <c r="D943" s="49"/>
      <c r="E943" s="49"/>
      <c r="F943" s="49"/>
    </row>
    <row r="944" spans="1:6">
      <c r="A944" s="120"/>
      <c r="B944" s="120"/>
      <c r="C944" s="121"/>
      <c r="D944" s="49"/>
      <c r="E944" s="49"/>
      <c r="F944" s="49"/>
    </row>
    <row r="945" spans="1:6">
      <c r="A945" s="120"/>
      <c r="B945" s="120"/>
      <c r="C945" s="121"/>
      <c r="D945" s="49"/>
      <c r="E945" s="49"/>
      <c r="F945" s="49"/>
    </row>
    <row r="946" spans="1:6">
      <c r="A946" s="120"/>
      <c r="B946" s="120"/>
      <c r="C946" s="121"/>
      <c r="D946" s="49"/>
      <c r="E946" s="49"/>
      <c r="F946" s="49"/>
    </row>
    <row r="947" spans="1:6">
      <c r="A947" s="120"/>
      <c r="B947" s="120"/>
      <c r="C947" s="121"/>
      <c r="D947" s="49"/>
      <c r="E947" s="49"/>
      <c r="F947" s="49"/>
    </row>
    <row r="948" spans="1:6">
      <c r="A948" s="120"/>
      <c r="B948" s="120"/>
      <c r="C948" s="121"/>
      <c r="D948" s="49"/>
      <c r="E948" s="49"/>
      <c r="F948" s="49"/>
    </row>
    <row r="949" spans="1:6">
      <c r="A949" s="120"/>
      <c r="B949" s="120"/>
      <c r="C949" s="121"/>
      <c r="D949" s="49"/>
      <c r="E949" s="49"/>
      <c r="F949" s="49"/>
    </row>
    <row r="950" spans="1:6">
      <c r="A950" s="120"/>
      <c r="B950" s="120"/>
      <c r="C950" s="121"/>
      <c r="D950" s="49"/>
      <c r="E950" s="49"/>
      <c r="F950" s="49"/>
    </row>
    <row r="951" spans="1:6">
      <c r="A951" s="120"/>
      <c r="B951" s="120"/>
      <c r="C951" s="121"/>
      <c r="D951" s="49"/>
      <c r="E951" s="49"/>
      <c r="F951" s="49"/>
    </row>
    <row r="952" spans="1:6">
      <c r="A952" s="120"/>
      <c r="B952" s="120"/>
      <c r="C952" s="121"/>
      <c r="D952" s="49"/>
      <c r="E952" s="49"/>
      <c r="F952" s="49"/>
    </row>
    <row r="953" spans="1:6">
      <c r="A953" s="120"/>
      <c r="B953" s="120"/>
      <c r="C953" s="121"/>
      <c r="D953" s="49"/>
      <c r="E953" s="49"/>
      <c r="F953" s="49"/>
    </row>
    <row r="954" spans="1:6">
      <c r="A954" s="120"/>
      <c r="B954" s="120"/>
      <c r="C954" s="121"/>
      <c r="D954" s="49"/>
      <c r="E954" s="49"/>
      <c r="F954" s="49"/>
    </row>
    <row r="955" spans="1:6">
      <c r="A955" s="120"/>
      <c r="B955" s="120"/>
      <c r="C955" s="121"/>
      <c r="D955" s="49"/>
      <c r="E955" s="49"/>
      <c r="F955" s="49"/>
    </row>
    <row r="956" spans="1:6">
      <c r="A956" s="120"/>
      <c r="B956" s="120"/>
      <c r="C956" s="121"/>
      <c r="D956" s="49"/>
      <c r="E956" s="49"/>
      <c r="F956" s="49"/>
    </row>
    <row r="957" spans="1:6">
      <c r="A957" s="120"/>
      <c r="B957" s="120"/>
      <c r="C957" s="121"/>
      <c r="D957" s="49"/>
      <c r="E957" s="49"/>
      <c r="F957" s="49"/>
    </row>
    <row r="958" spans="1:6">
      <c r="A958" s="120"/>
      <c r="B958" s="120"/>
      <c r="C958" s="121"/>
      <c r="D958" s="49"/>
      <c r="E958" s="49"/>
      <c r="F958" s="49"/>
    </row>
    <row r="959" spans="1:6">
      <c r="A959" s="120"/>
      <c r="B959" s="120"/>
      <c r="C959" s="121"/>
      <c r="D959" s="49"/>
      <c r="E959" s="49"/>
      <c r="F959" s="49"/>
    </row>
    <row r="960" spans="1:6">
      <c r="A960" s="120"/>
      <c r="B960" s="120"/>
      <c r="C960" s="121"/>
      <c r="D960" s="49"/>
      <c r="E960" s="49"/>
      <c r="F960" s="49"/>
    </row>
    <row r="961" spans="1:6">
      <c r="A961" s="120"/>
      <c r="B961" s="120"/>
      <c r="C961" s="121"/>
      <c r="D961" s="49"/>
      <c r="E961" s="49"/>
      <c r="F961" s="49"/>
    </row>
    <row r="962" spans="1:6">
      <c r="A962" s="120"/>
      <c r="B962" s="120"/>
      <c r="C962" s="121"/>
      <c r="D962" s="49"/>
      <c r="E962" s="49"/>
      <c r="F962" s="49"/>
    </row>
    <row r="963" spans="1:6">
      <c r="A963" s="120"/>
      <c r="B963" s="120"/>
      <c r="C963" s="121"/>
      <c r="D963" s="49"/>
      <c r="E963" s="49"/>
      <c r="F963" s="49"/>
    </row>
    <row r="964" spans="1:6">
      <c r="A964" s="120"/>
      <c r="B964" s="120"/>
      <c r="C964" s="121"/>
      <c r="D964" s="49"/>
      <c r="E964" s="49"/>
      <c r="F964" s="49"/>
    </row>
    <row r="965" spans="1:6">
      <c r="A965" s="120"/>
      <c r="B965" s="120"/>
      <c r="C965" s="121"/>
      <c r="D965" s="49"/>
      <c r="E965" s="49"/>
      <c r="F965" s="49"/>
    </row>
    <row r="966" spans="1:6">
      <c r="A966" s="120"/>
      <c r="B966" s="120"/>
      <c r="C966" s="121"/>
      <c r="D966" s="49"/>
      <c r="E966" s="49"/>
      <c r="F966" s="49"/>
    </row>
    <row r="967" spans="1:6">
      <c r="A967" s="120"/>
      <c r="B967" s="120"/>
      <c r="C967" s="121"/>
      <c r="D967" s="49"/>
      <c r="E967" s="49"/>
      <c r="F967" s="49"/>
    </row>
    <row r="968" spans="1:6">
      <c r="A968" s="120"/>
      <c r="B968" s="120"/>
      <c r="C968" s="121"/>
      <c r="D968" s="49"/>
      <c r="E968" s="49"/>
      <c r="F968" s="49"/>
    </row>
    <row r="969" spans="1:6">
      <c r="A969" s="120"/>
      <c r="B969" s="120"/>
      <c r="C969" s="121"/>
      <c r="D969" s="49"/>
      <c r="E969" s="49"/>
      <c r="F969" s="49"/>
    </row>
    <row r="970" spans="1:6">
      <c r="A970" s="120"/>
      <c r="B970" s="120"/>
      <c r="C970" s="121"/>
      <c r="D970" s="49"/>
      <c r="E970" s="49"/>
      <c r="F970" s="49"/>
    </row>
    <row r="971" spans="1:6">
      <c r="A971" s="120"/>
      <c r="B971" s="120"/>
      <c r="C971" s="121"/>
      <c r="D971" s="49"/>
      <c r="E971" s="49"/>
      <c r="F971" s="49"/>
    </row>
    <row r="972" spans="1:6">
      <c r="A972" s="120"/>
      <c r="B972" s="120"/>
      <c r="C972" s="121"/>
      <c r="D972" s="49"/>
      <c r="E972" s="49"/>
      <c r="F972" s="49"/>
    </row>
    <row r="973" spans="1:6">
      <c r="A973" s="120"/>
      <c r="B973" s="120"/>
      <c r="C973" s="121"/>
      <c r="D973" s="49"/>
      <c r="E973" s="49"/>
      <c r="F973" s="49"/>
    </row>
    <row r="974" spans="1:6">
      <c r="A974" s="120"/>
      <c r="B974" s="120"/>
      <c r="C974" s="121"/>
      <c r="D974" s="49"/>
      <c r="E974" s="49"/>
      <c r="F974" s="49"/>
    </row>
    <row r="975" spans="1:6">
      <c r="A975" s="120"/>
      <c r="B975" s="120"/>
      <c r="C975" s="121"/>
      <c r="D975" s="49"/>
      <c r="E975" s="49"/>
      <c r="F975" s="49"/>
    </row>
    <row r="976" spans="1:6">
      <c r="A976" s="120"/>
      <c r="B976" s="120"/>
      <c r="C976" s="121"/>
      <c r="D976" s="49"/>
      <c r="E976" s="49"/>
      <c r="F976" s="49"/>
    </row>
    <row r="977" spans="1:6">
      <c r="A977" s="120"/>
      <c r="B977" s="120"/>
      <c r="C977" s="121"/>
      <c r="D977" s="49"/>
      <c r="E977" s="49"/>
      <c r="F977" s="49"/>
    </row>
    <row r="978" spans="1:6">
      <c r="A978" s="120"/>
      <c r="B978" s="120"/>
      <c r="C978" s="121"/>
      <c r="D978" s="49"/>
      <c r="E978" s="49"/>
      <c r="F978" s="49"/>
    </row>
    <row r="979" spans="1:6">
      <c r="A979" s="120"/>
      <c r="B979" s="120"/>
      <c r="C979" s="121"/>
      <c r="D979" s="49"/>
      <c r="E979" s="49"/>
      <c r="F979" s="49"/>
    </row>
    <row r="980" spans="1:6">
      <c r="A980" s="120"/>
      <c r="B980" s="120"/>
      <c r="C980" s="121"/>
      <c r="D980" s="49"/>
      <c r="E980" s="49"/>
      <c r="F980" s="49"/>
    </row>
    <row r="981" spans="1:6">
      <c r="A981" s="120"/>
      <c r="B981" s="120"/>
      <c r="C981" s="121"/>
      <c r="D981" s="49"/>
      <c r="E981" s="49"/>
      <c r="F981" s="49"/>
    </row>
    <row r="982" spans="1:6">
      <c r="A982" s="120"/>
      <c r="B982" s="120"/>
      <c r="C982" s="121"/>
      <c r="D982" s="49"/>
      <c r="E982" s="49"/>
      <c r="F982" s="49"/>
    </row>
    <row r="983" spans="1:6">
      <c r="A983" s="120"/>
      <c r="B983" s="120"/>
      <c r="C983" s="121"/>
      <c r="D983" s="49"/>
      <c r="E983" s="49"/>
      <c r="F983" s="49"/>
    </row>
    <row r="984" spans="1:6">
      <c r="A984" s="120"/>
      <c r="B984" s="120"/>
      <c r="C984" s="121"/>
      <c r="D984" s="49"/>
      <c r="E984" s="49"/>
      <c r="F984" s="49"/>
    </row>
    <row r="985" spans="1:6">
      <c r="A985" s="120"/>
      <c r="B985" s="120"/>
      <c r="C985" s="121"/>
      <c r="D985" s="49"/>
      <c r="E985" s="49"/>
      <c r="F985" s="49"/>
    </row>
    <row r="986" spans="1:6">
      <c r="A986" s="120"/>
      <c r="B986" s="120"/>
      <c r="C986" s="121"/>
      <c r="D986" s="49"/>
      <c r="E986" s="49"/>
      <c r="F986" s="49"/>
    </row>
    <row r="987" spans="1:6">
      <c r="A987" s="120"/>
      <c r="B987" s="120"/>
      <c r="C987" s="121"/>
      <c r="D987" s="49"/>
      <c r="E987" s="49"/>
      <c r="F987" s="49"/>
    </row>
    <row r="988" spans="1:6">
      <c r="A988" s="120"/>
      <c r="B988" s="120"/>
      <c r="C988" s="121"/>
      <c r="D988" s="49"/>
      <c r="E988" s="49"/>
      <c r="F988" s="49"/>
    </row>
    <row r="989" spans="1:6">
      <c r="A989" s="120"/>
      <c r="B989" s="120"/>
      <c r="C989" s="121"/>
      <c r="D989" s="49"/>
      <c r="E989" s="49"/>
      <c r="F989" s="49"/>
    </row>
    <row r="990" spans="1:6">
      <c r="A990" s="120"/>
      <c r="B990" s="120"/>
      <c r="C990" s="121"/>
      <c r="D990" s="49"/>
      <c r="E990" s="49"/>
      <c r="F990" s="49"/>
    </row>
    <row r="991" spans="1:6">
      <c r="A991" s="120"/>
      <c r="B991" s="120"/>
      <c r="C991" s="121"/>
      <c r="D991" s="49"/>
      <c r="E991" s="49"/>
      <c r="F991" s="49"/>
    </row>
    <row r="992" spans="1:6">
      <c r="A992" s="120"/>
      <c r="B992" s="120"/>
      <c r="C992" s="121"/>
      <c r="D992" s="49"/>
      <c r="E992" s="49"/>
      <c r="F992" s="49"/>
    </row>
    <row r="993" spans="1:6">
      <c r="A993" s="120"/>
      <c r="B993" s="120"/>
      <c r="C993" s="121"/>
      <c r="D993" s="49"/>
      <c r="E993" s="49"/>
      <c r="F993" s="49"/>
    </row>
    <row r="994" spans="1:6">
      <c r="A994" s="120"/>
      <c r="B994" s="120"/>
      <c r="C994" s="121"/>
      <c r="D994" s="49"/>
      <c r="E994" s="49"/>
      <c r="F994" s="49"/>
    </row>
    <row r="995" spans="1:6">
      <c r="A995" s="120"/>
      <c r="B995" s="120"/>
      <c r="C995" s="121"/>
      <c r="D995" s="49"/>
      <c r="E995" s="49"/>
      <c r="F995" s="49"/>
    </row>
    <row r="996" spans="1:6">
      <c r="A996" s="120"/>
      <c r="B996" s="120"/>
      <c r="C996" s="121"/>
      <c r="D996" s="49"/>
      <c r="E996" s="49"/>
      <c r="F996" s="49"/>
    </row>
    <row r="997" spans="1:6">
      <c r="A997" s="120"/>
      <c r="B997" s="120"/>
      <c r="C997" s="121"/>
      <c r="D997" s="49"/>
      <c r="E997" s="49"/>
      <c r="F997" s="49"/>
    </row>
    <row r="998" spans="1:6">
      <c r="A998" s="120"/>
      <c r="B998" s="120"/>
      <c r="C998" s="121"/>
      <c r="D998" s="49"/>
      <c r="E998" s="49"/>
      <c r="F998" s="49"/>
    </row>
    <row r="999" spans="1:6">
      <c r="A999" s="120"/>
      <c r="B999" s="120"/>
      <c r="C999" s="121"/>
      <c r="D999" s="49"/>
      <c r="E999" s="49"/>
      <c r="F999" s="49"/>
    </row>
    <row r="1000" spans="1:6">
      <c r="A1000" s="120"/>
      <c r="B1000" s="120"/>
      <c r="C1000" s="121"/>
      <c r="D1000" s="49"/>
      <c r="E1000" s="49"/>
      <c r="F1000" s="4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3" max="3" width="61.140625" customWidth="1"/>
    <col min="5" max="5" width="17" customWidth="1"/>
    <col min="6" max="6" width="155.5703125" customWidth="1"/>
  </cols>
  <sheetData>
    <row r="1" spans="1:26">
      <c r="A1" s="114" t="s">
        <v>304</v>
      </c>
      <c r="B1" s="114" t="s">
        <v>723</v>
      </c>
      <c r="C1" s="115" t="s">
        <v>1783</v>
      </c>
      <c r="D1" s="114" t="s">
        <v>725</v>
      </c>
      <c r="E1" s="114" t="s">
        <v>1784</v>
      </c>
      <c r="F1" s="54" t="s">
        <v>1785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>
      <c r="A2" s="117" t="s">
        <v>307</v>
      </c>
      <c r="B2" s="117" t="s">
        <v>1786</v>
      </c>
      <c r="C2" s="118" t="s">
        <v>1787</v>
      </c>
      <c r="D2" s="117" t="s">
        <v>732</v>
      </c>
      <c r="E2" s="117" t="s">
        <v>1788</v>
      </c>
      <c r="F2" s="12" t="s">
        <v>1003</v>
      </c>
    </row>
    <row r="3" spans="1:26">
      <c r="A3" s="117" t="s">
        <v>307</v>
      </c>
      <c r="B3" s="117" t="s">
        <v>1789</v>
      </c>
      <c r="C3" s="118" t="s">
        <v>1790</v>
      </c>
      <c r="D3" s="117" t="s">
        <v>732</v>
      </c>
      <c r="E3" s="117" t="s">
        <v>1791</v>
      </c>
      <c r="F3" s="12" t="s">
        <v>1023</v>
      </c>
    </row>
    <row r="4" spans="1:26">
      <c r="A4" s="117" t="s">
        <v>307</v>
      </c>
      <c r="B4" s="117" t="s">
        <v>1792</v>
      </c>
      <c r="C4" s="118" t="s">
        <v>1793</v>
      </c>
      <c r="D4" s="117" t="s">
        <v>732</v>
      </c>
      <c r="E4" s="117" t="s">
        <v>1788</v>
      </c>
      <c r="F4" s="12" t="s">
        <v>1014</v>
      </c>
    </row>
    <row r="5" spans="1:26">
      <c r="A5" s="117" t="s">
        <v>307</v>
      </c>
      <c r="B5" s="117" t="s">
        <v>1794</v>
      </c>
      <c r="C5" s="118" t="s">
        <v>1795</v>
      </c>
      <c r="D5" s="117" t="s">
        <v>732</v>
      </c>
      <c r="E5" s="117" t="s">
        <v>1791</v>
      </c>
      <c r="F5" s="12" t="s">
        <v>1032</v>
      </c>
    </row>
    <row r="6" spans="1:26">
      <c r="A6" s="117" t="s">
        <v>307</v>
      </c>
      <c r="B6" s="117" t="s">
        <v>1796</v>
      </c>
      <c r="C6" s="118" t="s">
        <v>1797</v>
      </c>
      <c r="D6" s="117" t="s">
        <v>732</v>
      </c>
      <c r="E6" s="117" t="s">
        <v>1788</v>
      </c>
      <c r="F6" s="12" t="s">
        <v>1026</v>
      </c>
    </row>
    <row r="7" spans="1:26">
      <c r="A7" s="117" t="s">
        <v>307</v>
      </c>
      <c r="B7" s="117" t="s">
        <v>1798</v>
      </c>
      <c r="C7" s="118" t="s">
        <v>1799</v>
      </c>
      <c r="D7" s="117" t="s">
        <v>732</v>
      </c>
      <c r="E7" s="117" t="s">
        <v>1791</v>
      </c>
      <c r="F7" s="12" t="s">
        <v>743</v>
      </c>
    </row>
    <row r="8" spans="1:26">
      <c r="A8" s="117" t="s">
        <v>307</v>
      </c>
      <c r="B8" s="117" t="s">
        <v>1800</v>
      </c>
      <c r="C8" s="118" t="s">
        <v>1801</v>
      </c>
      <c r="D8" s="117" t="s">
        <v>732</v>
      </c>
      <c r="E8" s="117" t="s">
        <v>1802</v>
      </c>
      <c r="F8" s="12" t="s">
        <v>748</v>
      </c>
    </row>
    <row r="9" spans="1:26">
      <c r="A9" s="117" t="s">
        <v>307</v>
      </c>
      <c r="B9" s="117" t="s">
        <v>1803</v>
      </c>
      <c r="C9" s="118" t="s">
        <v>1804</v>
      </c>
      <c r="D9" s="117" t="s">
        <v>308</v>
      </c>
      <c r="E9" s="117" t="s">
        <v>1805</v>
      </c>
      <c r="F9" s="12" t="s">
        <v>1040</v>
      </c>
    </row>
    <row r="10" spans="1:26">
      <c r="A10" s="117" t="s">
        <v>307</v>
      </c>
      <c r="B10" s="117" t="s">
        <v>1806</v>
      </c>
      <c r="C10" s="118" t="s">
        <v>1807</v>
      </c>
      <c r="D10" s="117" t="s">
        <v>308</v>
      </c>
      <c r="E10" s="117" t="s">
        <v>1788</v>
      </c>
      <c r="F10" s="12" t="s">
        <v>1049</v>
      </c>
    </row>
    <row r="11" spans="1:26">
      <c r="A11" s="117" t="s">
        <v>307</v>
      </c>
      <c r="B11" s="117" t="s">
        <v>1808</v>
      </c>
      <c r="C11" s="118" t="s">
        <v>1809</v>
      </c>
      <c r="D11" s="117" t="s">
        <v>732</v>
      </c>
      <c r="E11" s="117" t="s">
        <v>1791</v>
      </c>
      <c r="F11" s="12" t="s">
        <v>766</v>
      </c>
    </row>
    <row r="12" spans="1:26">
      <c r="A12" s="117"/>
      <c r="B12" s="117"/>
      <c r="C12" s="118"/>
      <c r="D12" s="117"/>
      <c r="E12" s="117"/>
      <c r="F12" s="12"/>
    </row>
    <row r="13" spans="1:26">
      <c r="A13" s="117"/>
      <c r="B13" s="117"/>
      <c r="C13" s="118"/>
      <c r="D13" s="117"/>
      <c r="E13" s="117"/>
      <c r="F13" s="12"/>
    </row>
    <row r="14" spans="1:26">
      <c r="A14" s="117"/>
      <c r="B14" s="117"/>
      <c r="C14" s="118"/>
      <c r="D14" s="117"/>
      <c r="E14" s="117"/>
      <c r="F14" s="12"/>
    </row>
    <row r="15" spans="1:26">
      <c r="A15" s="117" t="s">
        <v>442</v>
      </c>
      <c r="B15" s="117" t="s">
        <v>1810</v>
      </c>
      <c r="C15" s="118" t="s">
        <v>1811</v>
      </c>
      <c r="D15" s="117" t="s">
        <v>1052</v>
      </c>
      <c r="E15" s="117" t="s">
        <v>1812</v>
      </c>
      <c r="F15" s="12" t="s">
        <v>1051</v>
      </c>
    </row>
    <row r="16" spans="1:26">
      <c r="A16" s="117" t="s">
        <v>442</v>
      </c>
      <c r="B16" s="117" t="s">
        <v>1813</v>
      </c>
      <c r="C16" s="118" t="s">
        <v>1814</v>
      </c>
      <c r="D16" s="117" t="s">
        <v>732</v>
      </c>
      <c r="E16" s="117" t="s">
        <v>1791</v>
      </c>
      <c r="F16" s="12" t="s">
        <v>769</v>
      </c>
    </row>
    <row r="17" spans="1:6">
      <c r="A17" s="117" t="s">
        <v>442</v>
      </c>
      <c r="B17" s="117" t="s">
        <v>1815</v>
      </c>
      <c r="C17" s="118" t="s">
        <v>1816</v>
      </c>
      <c r="D17" s="117" t="s">
        <v>732</v>
      </c>
      <c r="E17" s="117" t="s">
        <v>1817</v>
      </c>
      <c r="F17" s="12" t="s">
        <v>1058</v>
      </c>
    </row>
    <row r="18" spans="1:6">
      <c r="A18" s="117" t="s">
        <v>442</v>
      </c>
      <c r="B18" s="117" t="s">
        <v>460</v>
      </c>
      <c r="C18" s="118" t="s">
        <v>1818</v>
      </c>
      <c r="D18" s="117" t="s">
        <v>732</v>
      </c>
      <c r="E18" s="117" t="s">
        <v>1805</v>
      </c>
      <c r="F18" s="12" t="s">
        <v>1062</v>
      </c>
    </row>
    <row r="19" spans="1:6">
      <c r="A19" s="117" t="s">
        <v>442</v>
      </c>
      <c r="B19" s="117" t="s">
        <v>1819</v>
      </c>
      <c r="C19" s="118" t="s">
        <v>1820</v>
      </c>
      <c r="D19" s="117" t="s">
        <v>732</v>
      </c>
      <c r="E19" s="117" t="s">
        <v>1791</v>
      </c>
      <c r="F19" s="12" t="s">
        <v>1064</v>
      </c>
    </row>
    <row r="20" spans="1:6">
      <c r="A20" s="117" t="s">
        <v>442</v>
      </c>
      <c r="B20" s="117" t="s">
        <v>1821</v>
      </c>
      <c r="C20" s="118" t="s">
        <v>1822</v>
      </c>
      <c r="D20" s="117" t="s">
        <v>732</v>
      </c>
      <c r="E20" s="117" t="s">
        <v>1788</v>
      </c>
      <c r="F20" s="12" t="s">
        <v>1070</v>
      </c>
    </row>
    <row r="21" spans="1:6">
      <c r="A21" s="117" t="s">
        <v>442</v>
      </c>
      <c r="B21" s="117" t="s">
        <v>1823</v>
      </c>
      <c r="C21" s="118" t="s">
        <v>1824</v>
      </c>
      <c r="D21" s="117" t="s">
        <v>732</v>
      </c>
      <c r="E21" s="117" t="s">
        <v>1791</v>
      </c>
      <c r="F21" s="12" t="s">
        <v>1095</v>
      </c>
    </row>
    <row r="22" spans="1:6">
      <c r="A22" s="117" t="s">
        <v>442</v>
      </c>
      <c r="B22" s="117" t="s">
        <v>1825</v>
      </c>
      <c r="C22" s="118" t="s">
        <v>1826</v>
      </c>
      <c r="D22" s="117" t="s">
        <v>732</v>
      </c>
      <c r="E22" s="117" t="s">
        <v>1802</v>
      </c>
      <c r="F22" s="12" t="s">
        <v>1076</v>
      </c>
    </row>
    <row r="23" spans="1:6">
      <c r="A23" s="117" t="s">
        <v>442</v>
      </c>
      <c r="B23" s="117" t="s">
        <v>1827</v>
      </c>
      <c r="C23" s="118" t="s">
        <v>1828</v>
      </c>
      <c r="D23" s="117" t="s">
        <v>732</v>
      </c>
      <c r="E23" s="117" t="s">
        <v>1791</v>
      </c>
      <c r="F23" s="12" t="s">
        <v>1082</v>
      </c>
    </row>
    <row r="24" spans="1:6">
      <c r="A24" s="117" t="s">
        <v>442</v>
      </c>
      <c r="B24" s="117" t="s">
        <v>1829</v>
      </c>
      <c r="C24" s="118" t="s">
        <v>1830</v>
      </c>
      <c r="D24" s="117" t="s">
        <v>732</v>
      </c>
      <c r="E24" s="117" t="s">
        <v>1805</v>
      </c>
      <c r="F24" s="12" t="s">
        <v>1086</v>
      </c>
    </row>
    <row r="25" spans="1:6">
      <c r="A25" s="117" t="s">
        <v>442</v>
      </c>
      <c r="B25" s="117" t="s">
        <v>1831</v>
      </c>
      <c r="C25" s="118" t="s">
        <v>1832</v>
      </c>
      <c r="D25" s="117" t="s">
        <v>732</v>
      </c>
      <c r="E25" s="117" t="s">
        <v>1791</v>
      </c>
      <c r="F25" s="12" t="s">
        <v>1090</v>
      </c>
    </row>
    <row r="26" spans="1:6">
      <c r="A26" s="117" t="s">
        <v>442</v>
      </c>
      <c r="B26" s="117" t="s">
        <v>1833</v>
      </c>
      <c r="C26" s="118" t="s">
        <v>1834</v>
      </c>
      <c r="D26" s="117" t="s">
        <v>1052</v>
      </c>
      <c r="E26" s="117" t="s">
        <v>1805</v>
      </c>
      <c r="F26" s="12" t="s">
        <v>1092</v>
      </c>
    </row>
    <row r="27" spans="1:6">
      <c r="A27" s="117" t="s">
        <v>442</v>
      </c>
      <c r="B27" s="117" t="s">
        <v>1835</v>
      </c>
      <c r="C27" s="118" t="s">
        <v>1836</v>
      </c>
      <c r="D27" s="117" t="s">
        <v>308</v>
      </c>
      <c r="E27" s="117" t="s">
        <v>1805</v>
      </c>
      <c r="F27" s="12" t="s">
        <v>1097</v>
      </c>
    </row>
    <row r="28" spans="1:6">
      <c r="A28" s="117" t="s">
        <v>442</v>
      </c>
      <c r="B28" s="117" t="s">
        <v>450</v>
      </c>
      <c r="C28" s="118" t="s">
        <v>1837</v>
      </c>
      <c r="D28" s="117" t="s">
        <v>308</v>
      </c>
      <c r="E28" s="117" t="s">
        <v>1805</v>
      </c>
      <c r="F28" s="12" t="s">
        <v>1099</v>
      </c>
    </row>
    <row r="29" spans="1:6">
      <c r="A29" s="117"/>
      <c r="B29" s="117"/>
      <c r="C29" s="118"/>
      <c r="D29" s="117"/>
      <c r="E29" s="117"/>
      <c r="F29" s="12"/>
    </row>
    <row r="30" spans="1:6">
      <c r="A30" s="117"/>
      <c r="B30" s="117"/>
      <c r="C30" s="118"/>
      <c r="D30" s="117"/>
      <c r="E30" s="117"/>
      <c r="F30" s="12"/>
    </row>
    <row r="31" spans="1:6">
      <c r="A31" s="117"/>
      <c r="B31" s="117"/>
      <c r="C31" s="118"/>
      <c r="D31" s="117"/>
      <c r="E31" s="117"/>
      <c r="F31" s="12"/>
    </row>
    <row r="32" spans="1:6">
      <c r="A32" s="117" t="s">
        <v>357</v>
      </c>
      <c r="B32" s="117" t="s">
        <v>1838</v>
      </c>
      <c r="C32" s="118" t="s">
        <v>1839</v>
      </c>
      <c r="D32" s="117" t="s">
        <v>732</v>
      </c>
      <c r="E32" s="117" t="s">
        <v>1788</v>
      </c>
      <c r="F32" s="12" t="s">
        <v>1103</v>
      </c>
    </row>
    <row r="33" spans="1:6">
      <c r="A33" s="117" t="s">
        <v>357</v>
      </c>
      <c r="B33" s="117" t="s">
        <v>1840</v>
      </c>
      <c r="C33" s="118" t="s">
        <v>1841</v>
      </c>
      <c r="D33" s="117" t="s">
        <v>732</v>
      </c>
      <c r="E33" s="117" t="s">
        <v>1805</v>
      </c>
      <c r="F33" s="12" t="s">
        <v>1109</v>
      </c>
    </row>
    <row r="34" spans="1:6">
      <c r="A34" s="117" t="s">
        <v>357</v>
      </c>
      <c r="B34" s="117" t="s">
        <v>1842</v>
      </c>
      <c r="C34" s="118" t="s">
        <v>1843</v>
      </c>
      <c r="D34" s="117" t="s">
        <v>1052</v>
      </c>
      <c r="E34" s="117" t="s">
        <v>1805</v>
      </c>
      <c r="F34" s="12" t="s">
        <v>1127</v>
      </c>
    </row>
    <row r="35" spans="1:6">
      <c r="A35" s="117" t="s">
        <v>357</v>
      </c>
      <c r="B35" s="117" t="s">
        <v>1844</v>
      </c>
      <c r="C35" s="118" t="s">
        <v>1845</v>
      </c>
      <c r="D35" s="117" t="s">
        <v>308</v>
      </c>
      <c r="E35" s="117" t="s">
        <v>1788</v>
      </c>
      <c r="F35" s="12" t="s">
        <v>1133</v>
      </c>
    </row>
    <row r="36" spans="1:6">
      <c r="A36" s="117" t="s">
        <v>357</v>
      </c>
      <c r="B36" s="117" t="s">
        <v>1846</v>
      </c>
      <c r="C36" s="118" t="s">
        <v>1847</v>
      </c>
      <c r="D36" s="117" t="s">
        <v>308</v>
      </c>
      <c r="E36" s="117" t="s">
        <v>1802</v>
      </c>
      <c r="F36" s="12" t="s">
        <v>1148</v>
      </c>
    </row>
    <row r="37" spans="1:6">
      <c r="A37" s="117" t="s">
        <v>357</v>
      </c>
      <c r="B37" s="117" t="s">
        <v>1848</v>
      </c>
      <c r="C37" s="118" t="s">
        <v>1849</v>
      </c>
      <c r="D37" s="117" t="s">
        <v>732</v>
      </c>
      <c r="E37" s="117" t="s">
        <v>1802</v>
      </c>
      <c r="F37" s="12" t="s">
        <v>1150</v>
      </c>
    </row>
    <row r="38" spans="1:6">
      <c r="A38" s="117" t="s">
        <v>357</v>
      </c>
      <c r="B38" s="117" t="s">
        <v>1850</v>
      </c>
      <c r="C38" s="118" t="s">
        <v>1851</v>
      </c>
      <c r="D38" s="117" t="s">
        <v>308</v>
      </c>
      <c r="E38" s="117" t="s">
        <v>1788</v>
      </c>
      <c r="F38" s="12" t="s">
        <v>1150</v>
      </c>
    </row>
    <row r="39" spans="1:6">
      <c r="A39" s="117" t="s">
        <v>357</v>
      </c>
      <c r="B39" s="117" t="s">
        <v>1852</v>
      </c>
      <c r="C39" s="118" t="s">
        <v>1853</v>
      </c>
      <c r="D39" s="117" t="s">
        <v>732</v>
      </c>
      <c r="E39" s="117" t="s">
        <v>1791</v>
      </c>
    </row>
    <row r="40" spans="1:6">
      <c r="A40" s="117" t="s">
        <v>357</v>
      </c>
      <c r="B40" s="117" t="s">
        <v>1854</v>
      </c>
      <c r="C40" s="118" t="s">
        <v>1855</v>
      </c>
      <c r="D40" s="117" t="s">
        <v>732</v>
      </c>
      <c r="E40" s="117" t="s">
        <v>1802</v>
      </c>
      <c r="F40" s="12" t="s">
        <v>1168</v>
      </c>
    </row>
    <row r="41" spans="1:6">
      <c r="A41" s="117" t="s">
        <v>357</v>
      </c>
      <c r="B41" s="117" t="s">
        <v>1856</v>
      </c>
      <c r="C41" s="118" t="s">
        <v>1857</v>
      </c>
      <c r="D41" s="117" t="s">
        <v>732</v>
      </c>
      <c r="E41" s="117" t="s">
        <v>1791</v>
      </c>
      <c r="F41" s="12"/>
    </row>
    <row r="42" spans="1:6">
      <c r="A42" s="117" t="s">
        <v>357</v>
      </c>
      <c r="B42" s="117" t="s">
        <v>1858</v>
      </c>
      <c r="C42" s="118" t="s">
        <v>1859</v>
      </c>
      <c r="D42" s="117" t="s">
        <v>732</v>
      </c>
      <c r="E42" s="117" t="s">
        <v>1805</v>
      </c>
      <c r="F42" s="12"/>
    </row>
    <row r="43" spans="1:6">
      <c r="A43" s="117" t="s">
        <v>357</v>
      </c>
      <c r="B43" s="117" t="s">
        <v>1860</v>
      </c>
      <c r="C43" s="118" t="s">
        <v>1861</v>
      </c>
      <c r="D43" s="117" t="s">
        <v>1052</v>
      </c>
      <c r="E43" s="117" t="s">
        <v>1802</v>
      </c>
      <c r="F43" s="12"/>
    </row>
    <row r="44" spans="1:6">
      <c r="A44" s="117" t="s">
        <v>357</v>
      </c>
      <c r="B44" s="117" t="s">
        <v>1862</v>
      </c>
      <c r="C44" s="118" t="s">
        <v>1863</v>
      </c>
      <c r="D44" s="117" t="s">
        <v>732</v>
      </c>
      <c r="E44" s="117" t="s">
        <v>1805</v>
      </c>
      <c r="F44" s="12"/>
    </row>
    <row r="45" spans="1:6">
      <c r="A45" s="117" t="s">
        <v>357</v>
      </c>
      <c r="B45" s="117" t="s">
        <v>1864</v>
      </c>
      <c r="C45" s="118" t="s">
        <v>1865</v>
      </c>
      <c r="D45" s="117" t="s">
        <v>732</v>
      </c>
      <c r="E45" s="117" t="s">
        <v>1805</v>
      </c>
      <c r="F45" s="12"/>
    </row>
    <row r="46" spans="1:6">
      <c r="A46" s="117" t="s">
        <v>357</v>
      </c>
      <c r="B46" s="117" t="s">
        <v>1866</v>
      </c>
      <c r="C46" s="118" t="s">
        <v>1867</v>
      </c>
      <c r="D46" s="117" t="s">
        <v>308</v>
      </c>
      <c r="E46" s="117" t="s">
        <v>1788</v>
      </c>
      <c r="F46" s="12"/>
    </row>
    <row r="47" spans="1:6">
      <c r="A47" s="117"/>
      <c r="B47" s="117"/>
      <c r="C47" s="118"/>
      <c r="D47" s="117"/>
      <c r="E47" s="117"/>
      <c r="F47" s="12"/>
    </row>
    <row r="48" spans="1:6">
      <c r="A48" s="117"/>
      <c r="B48" s="117"/>
      <c r="C48" s="118"/>
      <c r="D48" s="117"/>
      <c r="E48" s="117"/>
      <c r="F48" s="12"/>
    </row>
    <row r="49" spans="1:6">
      <c r="A49" s="117"/>
      <c r="B49" s="117"/>
      <c r="C49" s="118"/>
      <c r="D49" s="117"/>
      <c r="E49" s="117"/>
      <c r="F49" s="12"/>
    </row>
    <row r="50" spans="1:6">
      <c r="A50" s="117" t="s">
        <v>1254</v>
      </c>
      <c r="B50" s="117" t="s">
        <v>1868</v>
      </c>
      <c r="C50" s="118" t="s">
        <v>1869</v>
      </c>
      <c r="D50" s="117" t="s">
        <v>732</v>
      </c>
      <c r="E50" s="117" t="s">
        <v>1802</v>
      </c>
      <c r="F50" s="12" t="s">
        <v>1256</v>
      </c>
    </row>
    <row r="51" spans="1:6">
      <c r="A51" s="117" t="s">
        <v>1254</v>
      </c>
      <c r="B51" s="117" t="s">
        <v>1870</v>
      </c>
      <c r="C51" s="118" t="s">
        <v>1871</v>
      </c>
      <c r="D51" s="117" t="s">
        <v>732</v>
      </c>
      <c r="E51" s="117" t="s">
        <v>1805</v>
      </c>
      <c r="F51" s="12" t="s">
        <v>1256</v>
      </c>
    </row>
    <row r="52" spans="1:6">
      <c r="A52" s="117" t="s">
        <v>1254</v>
      </c>
      <c r="B52" s="117" t="s">
        <v>1872</v>
      </c>
      <c r="C52" s="118" t="s">
        <v>1873</v>
      </c>
      <c r="D52" s="117" t="s">
        <v>1052</v>
      </c>
      <c r="E52" s="117" t="s">
        <v>1788</v>
      </c>
      <c r="F52" s="12" t="s">
        <v>1261</v>
      </c>
    </row>
    <row r="53" spans="1:6">
      <c r="A53" s="117" t="s">
        <v>1254</v>
      </c>
      <c r="B53" s="117" t="s">
        <v>1874</v>
      </c>
      <c r="C53" s="118" t="s">
        <v>1875</v>
      </c>
      <c r="D53" s="117" t="s">
        <v>732</v>
      </c>
      <c r="E53" s="117" t="s">
        <v>1791</v>
      </c>
      <c r="F53" s="12" t="s">
        <v>1256</v>
      </c>
    </row>
    <row r="54" spans="1:6">
      <c r="A54" s="117" t="s">
        <v>1254</v>
      </c>
      <c r="B54" s="117" t="s">
        <v>1876</v>
      </c>
      <c r="C54" s="118" t="s">
        <v>1877</v>
      </c>
      <c r="D54" s="117" t="s">
        <v>732</v>
      </c>
      <c r="E54" s="117" t="s">
        <v>1812</v>
      </c>
      <c r="F54" s="12" t="s">
        <v>1267</v>
      </c>
    </row>
    <row r="55" spans="1:6">
      <c r="A55" s="117" t="s">
        <v>1254</v>
      </c>
      <c r="B55" s="117" t="s">
        <v>1878</v>
      </c>
      <c r="C55" s="118" t="s">
        <v>1879</v>
      </c>
      <c r="D55" s="117" t="s">
        <v>732</v>
      </c>
      <c r="E55" s="117" t="s">
        <v>1788</v>
      </c>
      <c r="F55" s="12" t="s">
        <v>1269</v>
      </c>
    </row>
    <row r="56" spans="1:6">
      <c r="A56" s="117" t="s">
        <v>1254</v>
      </c>
      <c r="B56" s="117" t="s">
        <v>1880</v>
      </c>
      <c r="C56" s="118" t="s">
        <v>1881</v>
      </c>
      <c r="D56" s="117" t="s">
        <v>732</v>
      </c>
      <c r="E56" s="117" t="s">
        <v>1788</v>
      </c>
      <c r="F56" s="12" t="s">
        <v>1271</v>
      </c>
    </row>
    <row r="57" spans="1:6">
      <c r="A57" s="117" t="s">
        <v>1254</v>
      </c>
      <c r="B57" s="117" t="s">
        <v>1882</v>
      </c>
      <c r="C57" s="118" t="s">
        <v>1883</v>
      </c>
      <c r="D57" s="117" t="s">
        <v>732</v>
      </c>
      <c r="E57" s="117" t="s">
        <v>1788</v>
      </c>
      <c r="F57" s="12" t="s">
        <v>1273</v>
      </c>
    </row>
    <row r="58" spans="1:6">
      <c r="A58" s="117" t="s">
        <v>1254</v>
      </c>
      <c r="B58" s="117" t="s">
        <v>1884</v>
      </c>
      <c r="C58" s="118" t="s">
        <v>1885</v>
      </c>
      <c r="D58" s="117" t="s">
        <v>732</v>
      </c>
      <c r="E58" s="117" t="s">
        <v>1791</v>
      </c>
      <c r="F58" s="12" t="s">
        <v>1281</v>
      </c>
    </row>
    <row r="59" spans="1:6">
      <c r="A59" s="117" t="s">
        <v>1254</v>
      </c>
      <c r="B59" s="117" t="s">
        <v>1886</v>
      </c>
      <c r="C59" s="118" t="s">
        <v>1887</v>
      </c>
      <c r="D59" s="117" t="s">
        <v>732</v>
      </c>
      <c r="E59" s="117" t="s">
        <v>1788</v>
      </c>
      <c r="F59" s="12" t="s">
        <v>1281</v>
      </c>
    </row>
    <row r="60" spans="1:6">
      <c r="A60" s="117"/>
      <c r="B60" s="117"/>
      <c r="C60" s="118"/>
      <c r="D60" s="117"/>
      <c r="E60" s="117"/>
      <c r="F60" s="12"/>
    </row>
    <row r="61" spans="1:6">
      <c r="A61" s="117"/>
      <c r="B61" s="117"/>
      <c r="C61" s="118"/>
      <c r="D61" s="117"/>
      <c r="E61" s="117"/>
      <c r="F61" s="12"/>
    </row>
    <row r="62" spans="1:6">
      <c r="A62" s="117"/>
      <c r="B62" s="117"/>
      <c r="C62" s="118"/>
      <c r="D62" s="117"/>
      <c r="E62" s="117"/>
      <c r="F62" s="12"/>
    </row>
    <row r="63" spans="1:6">
      <c r="A63" s="117" t="s">
        <v>794</v>
      </c>
      <c r="B63" s="117" t="s">
        <v>1888</v>
      </c>
      <c r="C63" s="118" t="s">
        <v>1889</v>
      </c>
      <c r="D63" s="117" t="s">
        <v>732</v>
      </c>
      <c r="E63" s="117" t="s">
        <v>1791</v>
      </c>
      <c r="F63" s="12" t="s">
        <v>796</v>
      </c>
    </row>
    <row r="64" spans="1:6">
      <c r="A64" s="117" t="s">
        <v>794</v>
      </c>
      <c r="B64" s="117" t="s">
        <v>1890</v>
      </c>
      <c r="C64" s="118" t="s">
        <v>1891</v>
      </c>
      <c r="D64" s="117" t="s">
        <v>732</v>
      </c>
      <c r="E64" s="117" t="s">
        <v>1791</v>
      </c>
      <c r="F64" s="12" t="s">
        <v>1892</v>
      </c>
    </row>
    <row r="65" spans="1:6">
      <c r="A65" s="117" t="s">
        <v>794</v>
      </c>
      <c r="B65" s="117" t="s">
        <v>1893</v>
      </c>
      <c r="C65" s="118" t="s">
        <v>1894</v>
      </c>
      <c r="D65" s="117" t="s">
        <v>732</v>
      </c>
      <c r="E65" s="117" t="s">
        <v>1791</v>
      </c>
      <c r="F65" s="12" t="s">
        <v>1895</v>
      </c>
    </row>
    <row r="66" spans="1:6">
      <c r="A66" s="117" t="s">
        <v>794</v>
      </c>
      <c r="B66" s="117" t="s">
        <v>1896</v>
      </c>
      <c r="C66" s="118" t="s">
        <v>1897</v>
      </c>
      <c r="D66" s="117" t="s">
        <v>732</v>
      </c>
      <c r="E66" s="117" t="s">
        <v>1802</v>
      </c>
      <c r="F66" s="12" t="s">
        <v>806</v>
      </c>
    </row>
    <row r="67" spans="1:6">
      <c r="A67" s="117" t="s">
        <v>794</v>
      </c>
      <c r="B67" s="117" t="s">
        <v>1898</v>
      </c>
      <c r="C67" s="118" t="s">
        <v>1899</v>
      </c>
      <c r="D67" s="117" t="s">
        <v>1052</v>
      </c>
      <c r="E67" s="117" t="s">
        <v>1802</v>
      </c>
      <c r="F67" s="12" t="s">
        <v>809</v>
      </c>
    </row>
    <row r="68" spans="1:6">
      <c r="A68" s="117" t="s">
        <v>794</v>
      </c>
      <c r="B68" s="117" t="s">
        <v>1900</v>
      </c>
      <c r="C68" s="118" t="s">
        <v>1901</v>
      </c>
      <c r="D68" s="117" t="s">
        <v>732</v>
      </c>
      <c r="E68" s="117" t="s">
        <v>1802</v>
      </c>
      <c r="F68" s="12" t="s">
        <v>1299</v>
      </c>
    </row>
    <row r="69" spans="1:6">
      <c r="A69" s="117" t="s">
        <v>794</v>
      </c>
      <c r="B69" s="117" t="s">
        <v>1902</v>
      </c>
      <c r="C69" s="118" t="s">
        <v>1903</v>
      </c>
      <c r="D69" s="117" t="s">
        <v>732</v>
      </c>
      <c r="E69" s="117" t="s">
        <v>1802</v>
      </c>
      <c r="F69" s="12" t="s">
        <v>813</v>
      </c>
    </row>
    <row r="70" spans="1:6">
      <c r="A70" s="117"/>
      <c r="B70" s="117"/>
      <c r="C70" s="118"/>
      <c r="D70" s="117"/>
      <c r="E70" s="117"/>
      <c r="F70" s="12"/>
    </row>
    <row r="71" spans="1:6">
      <c r="A71" s="117"/>
      <c r="B71" s="117"/>
      <c r="C71" s="118"/>
      <c r="D71" s="117"/>
      <c r="E71" s="117"/>
      <c r="F71" s="12"/>
    </row>
    <row r="72" spans="1:6">
      <c r="A72" s="117"/>
      <c r="B72" s="117"/>
      <c r="C72" s="118"/>
      <c r="D72" s="117"/>
      <c r="E72" s="117"/>
      <c r="F72" s="12"/>
    </row>
    <row r="73" spans="1:6">
      <c r="A73" s="117" t="s">
        <v>338</v>
      </c>
      <c r="B73" s="117" t="s">
        <v>1904</v>
      </c>
      <c r="C73" s="118" t="s">
        <v>1905</v>
      </c>
      <c r="D73" s="117" t="s">
        <v>732</v>
      </c>
      <c r="E73" s="117" t="s">
        <v>1802</v>
      </c>
      <c r="F73" s="12" t="s">
        <v>815</v>
      </c>
    </row>
    <row r="74" spans="1:6">
      <c r="A74" s="117" t="s">
        <v>338</v>
      </c>
      <c r="B74" s="117" t="s">
        <v>1906</v>
      </c>
      <c r="C74" s="118" t="s">
        <v>1907</v>
      </c>
      <c r="D74" s="117" t="s">
        <v>732</v>
      </c>
      <c r="E74" s="117" t="s">
        <v>1788</v>
      </c>
      <c r="F74" s="12" t="s">
        <v>817</v>
      </c>
    </row>
    <row r="75" spans="1:6">
      <c r="A75" s="117" t="s">
        <v>338</v>
      </c>
      <c r="B75" s="117" t="s">
        <v>1908</v>
      </c>
      <c r="C75" s="118" t="s">
        <v>1909</v>
      </c>
      <c r="D75" s="117" t="s">
        <v>732</v>
      </c>
      <c r="E75" s="117" t="s">
        <v>1805</v>
      </c>
      <c r="F75" s="12" t="s">
        <v>817</v>
      </c>
    </row>
    <row r="76" spans="1:6">
      <c r="A76" s="117" t="s">
        <v>338</v>
      </c>
      <c r="B76" s="117" t="s">
        <v>1910</v>
      </c>
      <c r="C76" s="118" t="s">
        <v>1911</v>
      </c>
      <c r="D76" s="117" t="s">
        <v>732</v>
      </c>
      <c r="E76" s="117" t="s">
        <v>1805</v>
      </c>
      <c r="F76" s="12" t="s">
        <v>817</v>
      </c>
    </row>
    <row r="77" spans="1:6">
      <c r="A77" s="117" t="s">
        <v>338</v>
      </c>
      <c r="B77" s="117" t="s">
        <v>1912</v>
      </c>
      <c r="C77" s="118" t="s">
        <v>1913</v>
      </c>
      <c r="D77" s="117" t="s">
        <v>1052</v>
      </c>
      <c r="E77" s="117" t="s">
        <v>1802</v>
      </c>
      <c r="F77" s="12" t="s">
        <v>1303</v>
      </c>
    </row>
    <row r="78" spans="1:6">
      <c r="A78" s="117" t="s">
        <v>338</v>
      </c>
      <c r="B78" s="117" t="s">
        <v>1914</v>
      </c>
      <c r="C78" s="118" t="s">
        <v>1915</v>
      </c>
      <c r="D78" s="117" t="s">
        <v>1052</v>
      </c>
      <c r="E78" s="117" t="s">
        <v>1802</v>
      </c>
      <c r="F78" s="12" t="s">
        <v>1305</v>
      </c>
    </row>
    <row r="79" spans="1:6">
      <c r="A79" s="117" t="s">
        <v>338</v>
      </c>
      <c r="B79" s="117" t="s">
        <v>1916</v>
      </c>
      <c r="C79" s="118" t="s">
        <v>1917</v>
      </c>
      <c r="D79" s="117" t="s">
        <v>1052</v>
      </c>
      <c r="E79" s="117" t="s">
        <v>1802</v>
      </c>
      <c r="F79" s="12" t="s">
        <v>835</v>
      </c>
    </row>
    <row r="80" spans="1:6">
      <c r="A80" s="117" t="s">
        <v>338</v>
      </c>
      <c r="B80" s="117" t="s">
        <v>1918</v>
      </c>
      <c r="C80" s="118" t="s">
        <v>1919</v>
      </c>
      <c r="D80" s="117" t="s">
        <v>1052</v>
      </c>
      <c r="E80" s="117" t="s">
        <v>1802</v>
      </c>
      <c r="F80" s="12" t="s">
        <v>1307</v>
      </c>
    </row>
    <row r="81" spans="1:6">
      <c r="A81" s="117"/>
      <c r="B81" s="117"/>
      <c r="C81" s="118"/>
      <c r="D81" s="117"/>
      <c r="E81" s="117"/>
      <c r="F81" s="12"/>
    </row>
    <row r="82" spans="1:6">
      <c r="A82" s="117"/>
      <c r="B82" s="117"/>
      <c r="C82" s="118"/>
      <c r="D82" s="117"/>
      <c r="E82" s="117"/>
      <c r="F82" s="12"/>
    </row>
    <row r="83" spans="1:6">
      <c r="A83" s="117"/>
      <c r="B83" s="117"/>
      <c r="C83" s="118"/>
      <c r="D83" s="117"/>
      <c r="E83" s="117"/>
      <c r="F83" s="12"/>
    </row>
    <row r="84" spans="1:6">
      <c r="A84" s="117" t="s">
        <v>149</v>
      </c>
      <c r="B84" s="117" t="s">
        <v>1920</v>
      </c>
      <c r="C84" s="118" t="s">
        <v>1921</v>
      </c>
      <c r="D84" s="117" t="s">
        <v>732</v>
      </c>
      <c r="E84" s="117" t="s">
        <v>1805</v>
      </c>
      <c r="F84" s="12" t="s">
        <v>1315</v>
      </c>
    </row>
    <row r="85" spans="1:6">
      <c r="A85" s="117" t="s">
        <v>149</v>
      </c>
      <c r="B85" s="117" t="s">
        <v>1922</v>
      </c>
      <c r="C85" s="118" t="s">
        <v>1923</v>
      </c>
      <c r="D85" s="117" t="s">
        <v>732</v>
      </c>
      <c r="E85" s="117" t="s">
        <v>1802</v>
      </c>
      <c r="F85" s="12" t="s">
        <v>1311</v>
      </c>
    </row>
    <row r="86" spans="1:6">
      <c r="A86" s="117" t="s">
        <v>149</v>
      </c>
      <c r="B86" s="117" t="s">
        <v>1924</v>
      </c>
      <c r="C86" s="118" t="s">
        <v>1925</v>
      </c>
      <c r="D86" s="117" t="s">
        <v>732</v>
      </c>
      <c r="E86" s="117" t="s">
        <v>1805</v>
      </c>
      <c r="F86" s="12" t="s">
        <v>1317</v>
      </c>
    </row>
    <row r="87" spans="1:6">
      <c r="A87" s="117" t="s">
        <v>149</v>
      </c>
      <c r="B87" s="117" t="s">
        <v>1926</v>
      </c>
      <c r="C87" s="118" t="s">
        <v>1927</v>
      </c>
      <c r="D87" s="117" t="s">
        <v>732</v>
      </c>
      <c r="E87" s="117" t="s">
        <v>1817</v>
      </c>
      <c r="F87" s="12" t="s">
        <v>1317</v>
      </c>
    </row>
    <row r="88" spans="1:6">
      <c r="A88" s="117" t="s">
        <v>149</v>
      </c>
      <c r="B88" s="117" t="s">
        <v>1928</v>
      </c>
      <c r="C88" s="118" t="s">
        <v>1929</v>
      </c>
      <c r="D88" s="117" t="s">
        <v>732</v>
      </c>
      <c r="E88" s="117" t="s">
        <v>1788</v>
      </c>
      <c r="F88" s="12" t="s">
        <v>1317</v>
      </c>
    </row>
    <row r="89" spans="1:6">
      <c r="A89" s="117" t="s">
        <v>149</v>
      </c>
      <c r="B89" s="117" t="s">
        <v>1930</v>
      </c>
      <c r="C89" s="118" t="s">
        <v>1931</v>
      </c>
      <c r="D89" s="117" t="s">
        <v>732</v>
      </c>
      <c r="E89" s="117" t="s">
        <v>1805</v>
      </c>
      <c r="F89" s="12" t="s">
        <v>1313</v>
      </c>
    </row>
    <row r="90" spans="1:6">
      <c r="A90" s="117" t="s">
        <v>149</v>
      </c>
      <c r="B90" s="117" t="s">
        <v>1932</v>
      </c>
      <c r="C90" s="118" t="s">
        <v>1933</v>
      </c>
      <c r="D90" s="117" t="s">
        <v>732</v>
      </c>
      <c r="E90" s="117" t="s">
        <v>1805</v>
      </c>
      <c r="F90" s="12" t="s">
        <v>1319</v>
      </c>
    </row>
    <row r="91" spans="1:6">
      <c r="A91" s="117" t="s">
        <v>149</v>
      </c>
      <c r="B91" s="117" t="s">
        <v>1934</v>
      </c>
      <c r="C91" s="118" t="s">
        <v>1935</v>
      </c>
      <c r="D91" s="117" t="s">
        <v>732</v>
      </c>
      <c r="E91" s="117" t="s">
        <v>1817</v>
      </c>
      <c r="F91" s="12" t="s">
        <v>1936</v>
      </c>
    </row>
    <row r="92" spans="1:6">
      <c r="A92" s="117" t="s">
        <v>149</v>
      </c>
      <c r="B92" s="117" t="s">
        <v>1937</v>
      </c>
      <c r="C92" s="118" t="s">
        <v>1938</v>
      </c>
      <c r="D92" s="117" t="s">
        <v>732</v>
      </c>
      <c r="E92" s="117" t="s">
        <v>1791</v>
      </c>
      <c r="F92" s="12" t="s">
        <v>1936</v>
      </c>
    </row>
    <row r="93" spans="1:6">
      <c r="A93" s="117" t="s">
        <v>149</v>
      </c>
      <c r="B93" s="117" t="s">
        <v>1939</v>
      </c>
      <c r="C93" s="118" t="s">
        <v>1940</v>
      </c>
      <c r="D93" s="117" t="s">
        <v>732</v>
      </c>
      <c r="E93" s="117" t="s">
        <v>1788</v>
      </c>
      <c r="F93" s="12" t="s">
        <v>1315</v>
      </c>
    </row>
    <row r="94" spans="1:6">
      <c r="A94" s="117" t="s">
        <v>149</v>
      </c>
      <c r="B94" s="117" t="s">
        <v>1941</v>
      </c>
      <c r="C94" s="118" t="s">
        <v>1942</v>
      </c>
      <c r="D94" s="117" t="s">
        <v>308</v>
      </c>
      <c r="E94" s="117" t="s">
        <v>1817</v>
      </c>
      <c r="F94" s="12" t="s">
        <v>1943</v>
      </c>
    </row>
    <row r="95" spans="1:6">
      <c r="A95" s="117"/>
      <c r="B95" s="117"/>
      <c r="C95" s="118"/>
      <c r="D95" s="117"/>
      <c r="E95" s="117"/>
      <c r="F95" s="12"/>
    </row>
    <row r="96" spans="1:6">
      <c r="A96" s="117"/>
      <c r="B96" s="117"/>
      <c r="C96" s="118"/>
      <c r="D96" s="117"/>
      <c r="E96" s="117"/>
      <c r="F96" s="12"/>
    </row>
    <row r="97" spans="1:6">
      <c r="A97" s="117"/>
      <c r="B97" s="117"/>
      <c r="C97" s="118"/>
      <c r="D97" s="117"/>
      <c r="E97" s="117"/>
      <c r="F97" s="12"/>
    </row>
    <row r="98" spans="1:6">
      <c r="A98" s="117" t="s">
        <v>168</v>
      </c>
      <c r="B98" s="117" t="s">
        <v>1944</v>
      </c>
      <c r="C98" s="118" t="s">
        <v>1945</v>
      </c>
      <c r="D98" s="117" t="s">
        <v>732</v>
      </c>
      <c r="E98" s="117" t="s">
        <v>1791</v>
      </c>
      <c r="F98" s="12" t="s">
        <v>1342</v>
      </c>
    </row>
    <row r="99" spans="1:6">
      <c r="A99" s="117" t="s">
        <v>168</v>
      </c>
      <c r="B99" s="117" t="s">
        <v>1946</v>
      </c>
      <c r="C99" s="118" t="s">
        <v>1947</v>
      </c>
      <c r="D99" s="117" t="s">
        <v>1052</v>
      </c>
      <c r="E99" s="117" t="s">
        <v>1805</v>
      </c>
      <c r="F99" s="12" t="s">
        <v>1344</v>
      </c>
    </row>
    <row r="100" spans="1:6">
      <c r="A100" s="117" t="s">
        <v>168</v>
      </c>
      <c r="B100" s="117" t="s">
        <v>1948</v>
      </c>
      <c r="C100" s="118" t="s">
        <v>1949</v>
      </c>
      <c r="D100" s="117" t="s">
        <v>732</v>
      </c>
      <c r="E100" s="117" t="s">
        <v>1817</v>
      </c>
      <c r="F100" s="12" t="s">
        <v>1358</v>
      </c>
    </row>
    <row r="101" spans="1:6">
      <c r="A101" s="117" t="s">
        <v>168</v>
      </c>
      <c r="B101" s="117" t="s">
        <v>1950</v>
      </c>
      <c r="C101" s="118" t="s">
        <v>1951</v>
      </c>
      <c r="D101" s="117" t="s">
        <v>732</v>
      </c>
      <c r="E101" s="117" t="s">
        <v>1802</v>
      </c>
      <c r="F101" s="12" t="s">
        <v>1342</v>
      </c>
    </row>
    <row r="102" spans="1:6">
      <c r="A102" s="117" t="s">
        <v>168</v>
      </c>
      <c r="B102" s="117" t="s">
        <v>1952</v>
      </c>
      <c r="C102" s="118" t="s">
        <v>1953</v>
      </c>
      <c r="D102" s="117" t="s">
        <v>1052</v>
      </c>
      <c r="E102" s="117" t="s">
        <v>1805</v>
      </c>
      <c r="F102" s="12" t="s">
        <v>1350</v>
      </c>
    </row>
    <row r="103" spans="1:6">
      <c r="A103" s="117" t="s">
        <v>168</v>
      </c>
      <c r="B103" s="117" t="s">
        <v>1954</v>
      </c>
      <c r="C103" s="118" t="s">
        <v>1955</v>
      </c>
      <c r="D103" s="117" t="s">
        <v>1052</v>
      </c>
      <c r="E103" s="117" t="s">
        <v>1812</v>
      </c>
      <c r="F103" s="12" t="s">
        <v>1338</v>
      </c>
    </row>
    <row r="104" spans="1:6">
      <c r="A104" s="117" t="s">
        <v>168</v>
      </c>
      <c r="B104" s="117" t="s">
        <v>1956</v>
      </c>
      <c r="C104" s="118" t="s">
        <v>1957</v>
      </c>
      <c r="D104" s="117" t="s">
        <v>732</v>
      </c>
      <c r="E104" s="117" t="s">
        <v>1802</v>
      </c>
      <c r="F104" s="12" t="s">
        <v>1958</v>
      </c>
    </row>
    <row r="105" spans="1:6">
      <c r="A105" s="117" t="s">
        <v>168</v>
      </c>
      <c r="B105" s="117" t="s">
        <v>1959</v>
      </c>
      <c r="C105" s="118" t="s">
        <v>1960</v>
      </c>
      <c r="D105" s="117" t="s">
        <v>732</v>
      </c>
      <c r="E105" s="117" t="s">
        <v>1802</v>
      </c>
      <c r="F105" s="12" t="s">
        <v>1961</v>
      </c>
    </row>
    <row r="106" spans="1:6">
      <c r="A106" s="117" t="s">
        <v>168</v>
      </c>
      <c r="B106" s="117" t="s">
        <v>1962</v>
      </c>
      <c r="C106" s="118" t="s">
        <v>1963</v>
      </c>
      <c r="D106" s="117" t="s">
        <v>732</v>
      </c>
      <c r="E106" s="117" t="s">
        <v>1817</v>
      </c>
      <c r="F106" s="12" t="s">
        <v>1961</v>
      </c>
    </row>
    <row r="107" spans="1:6">
      <c r="A107" s="117" t="s">
        <v>168</v>
      </c>
      <c r="B107" s="117" t="s">
        <v>1964</v>
      </c>
      <c r="C107" s="118" t="s">
        <v>1965</v>
      </c>
      <c r="D107" s="117" t="s">
        <v>732</v>
      </c>
      <c r="E107" s="117" t="s">
        <v>1805</v>
      </c>
      <c r="F107" s="12" t="s">
        <v>1410</v>
      </c>
    </row>
    <row r="108" spans="1:6">
      <c r="A108" s="117" t="s">
        <v>168</v>
      </c>
      <c r="B108" s="117" t="s">
        <v>1966</v>
      </c>
      <c r="C108" s="118" t="s">
        <v>1967</v>
      </c>
      <c r="D108" s="117" t="s">
        <v>732</v>
      </c>
      <c r="E108" s="117" t="s">
        <v>1791</v>
      </c>
      <c r="F108" s="12" t="s">
        <v>1380</v>
      </c>
    </row>
    <row r="109" spans="1:6">
      <c r="A109" s="117" t="s">
        <v>168</v>
      </c>
      <c r="B109" s="117" t="s">
        <v>1968</v>
      </c>
      <c r="C109" s="118" t="s">
        <v>1969</v>
      </c>
      <c r="D109" s="117" t="s">
        <v>732</v>
      </c>
      <c r="E109" s="117" t="s">
        <v>1805</v>
      </c>
      <c r="F109" s="12" t="s">
        <v>1408</v>
      </c>
    </row>
    <row r="110" spans="1:6">
      <c r="A110" s="117" t="s">
        <v>168</v>
      </c>
      <c r="B110" s="117" t="s">
        <v>1970</v>
      </c>
      <c r="C110" s="118" t="s">
        <v>1971</v>
      </c>
      <c r="D110" s="117" t="s">
        <v>732</v>
      </c>
      <c r="E110" s="117" t="s">
        <v>1788</v>
      </c>
      <c r="F110" s="12" t="s">
        <v>1342</v>
      </c>
    </row>
    <row r="111" spans="1:6">
      <c r="A111" s="117" t="s">
        <v>168</v>
      </c>
      <c r="B111" s="117" t="s">
        <v>1972</v>
      </c>
      <c r="C111" s="118" t="s">
        <v>1973</v>
      </c>
      <c r="D111" s="117" t="s">
        <v>1052</v>
      </c>
      <c r="E111" s="117" t="s">
        <v>1817</v>
      </c>
      <c r="F111" s="12" t="s">
        <v>1388</v>
      </c>
    </row>
    <row r="112" spans="1:6">
      <c r="A112" s="117" t="s">
        <v>168</v>
      </c>
      <c r="B112" s="117" t="s">
        <v>1974</v>
      </c>
      <c r="C112" s="118" t="s">
        <v>1975</v>
      </c>
      <c r="D112" s="117" t="s">
        <v>308</v>
      </c>
      <c r="E112" s="117" t="s">
        <v>1802</v>
      </c>
      <c r="F112" s="12" t="s">
        <v>1392</v>
      </c>
    </row>
    <row r="113" spans="1:6">
      <c r="A113" s="117" t="s">
        <v>168</v>
      </c>
      <c r="B113" s="117" t="s">
        <v>1976</v>
      </c>
      <c r="C113" s="118" t="s">
        <v>1977</v>
      </c>
      <c r="D113" s="117" t="s">
        <v>308</v>
      </c>
      <c r="E113" s="117" t="s">
        <v>1802</v>
      </c>
      <c r="F113" s="12" t="s">
        <v>1388</v>
      </c>
    </row>
    <row r="114" spans="1:6">
      <c r="A114" s="117" t="s">
        <v>168</v>
      </c>
      <c r="B114" s="117" t="s">
        <v>1978</v>
      </c>
      <c r="C114" s="118" t="s">
        <v>1979</v>
      </c>
      <c r="D114" s="117" t="s">
        <v>308</v>
      </c>
      <c r="E114" s="117" t="s">
        <v>1791</v>
      </c>
      <c r="F114" s="12" t="s">
        <v>1396</v>
      </c>
    </row>
    <row r="115" spans="1:6">
      <c r="A115" s="117" t="s">
        <v>168</v>
      </c>
      <c r="B115" s="117" t="s">
        <v>1980</v>
      </c>
      <c r="C115" s="118" t="s">
        <v>1981</v>
      </c>
      <c r="D115" s="117" t="s">
        <v>732</v>
      </c>
      <c r="E115" s="117" t="s">
        <v>1802</v>
      </c>
      <c r="F115" s="12" t="s">
        <v>1368</v>
      </c>
    </row>
    <row r="116" spans="1:6">
      <c r="A116" s="117" t="s">
        <v>168</v>
      </c>
      <c r="B116" s="117" t="s">
        <v>1982</v>
      </c>
      <c r="C116" s="118" t="s">
        <v>1983</v>
      </c>
      <c r="D116" s="117" t="s">
        <v>732</v>
      </c>
      <c r="E116" s="117" t="s">
        <v>1788</v>
      </c>
      <c r="F116" s="12" t="s">
        <v>1410</v>
      </c>
    </row>
    <row r="117" spans="1:6">
      <c r="A117" s="117" t="s">
        <v>168</v>
      </c>
      <c r="B117" s="117" t="s">
        <v>1984</v>
      </c>
      <c r="C117" s="118" t="s">
        <v>1985</v>
      </c>
      <c r="D117" s="117" t="s">
        <v>732</v>
      </c>
      <c r="E117" s="117" t="s">
        <v>1791</v>
      </c>
      <c r="F117" s="12" t="s">
        <v>1384</v>
      </c>
    </row>
    <row r="118" spans="1:6">
      <c r="A118" s="117" t="s">
        <v>168</v>
      </c>
      <c r="B118" s="117" t="s">
        <v>1986</v>
      </c>
      <c r="C118" s="118" t="s">
        <v>1987</v>
      </c>
      <c r="D118" s="117" t="s">
        <v>732</v>
      </c>
      <c r="E118" s="117" t="s">
        <v>1817</v>
      </c>
      <c r="F118" s="12" t="s">
        <v>1366</v>
      </c>
    </row>
    <row r="119" spans="1:6">
      <c r="A119" s="117" t="s">
        <v>168</v>
      </c>
      <c r="B119" s="117" t="s">
        <v>1988</v>
      </c>
      <c r="C119" s="118" t="s">
        <v>1989</v>
      </c>
      <c r="D119" s="117" t="s">
        <v>1052</v>
      </c>
      <c r="E119" s="117" t="s">
        <v>1805</v>
      </c>
      <c r="F119" s="12" t="s">
        <v>1374</v>
      </c>
    </row>
    <row r="120" spans="1:6">
      <c r="A120" s="117" t="s">
        <v>168</v>
      </c>
      <c r="B120" s="117" t="s">
        <v>1990</v>
      </c>
      <c r="C120" s="118" t="s">
        <v>1991</v>
      </c>
      <c r="D120" s="117" t="s">
        <v>1052</v>
      </c>
      <c r="E120" s="117" t="s">
        <v>1817</v>
      </c>
      <c r="F120" s="12" t="s">
        <v>1378</v>
      </c>
    </row>
    <row r="121" spans="1:6">
      <c r="A121" s="117" t="s">
        <v>168</v>
      </c>
      <c r="B121" s="117" t="s">
        <v>1992</v>
      </c>
      <c r="C121" s="118" t="s">
        <v>1993</v>
      </c>
      <c r="D121" s="117" t="s">
        <v>732</v>
      </c>
      <c r="E121" s="117" t="s">
        <v>1817</v>
      </c>
      <c r="F121" s="12" t="s">
        <v>1402</v>
      </c>
    </row>
    <row r="122" spans="1:6">
      <c r="A122" s="117" t="s">
        <v>168</v>
      </c>
      <c r="B122" s="117" t="s">
        <v>1994</v>
      </c>
      <c r="C122" s="118" t="s">
        <v>1995</v>
      </c>
      <c r="D122" s="117" t="s">
        <v>732</v>
      </c>
      <c r="E122" s="117" t="s">
        <v>1817</v>
      </c>
      <c r="F122" s="12" t="s">
        <v>1404</v>
      </c>
    </row>
    <row r="123" spans="1:6">
      <c r="A123" s="117" t="s">
        <v>168</v>
      </c>
      <c r="B123" s="117" t="s">
        <v>1996</v>
      </c>
      <c r="C123" s="118" t="s">
        <v>1997</v>
      </c>
      <c r="D123" s="117" t="s">
        <v>732</v>
      </c>
      <c r="E123" s="117" t="s">
        <v>1791</v>
      </c>
      <c r="F123" s="12" t="s">
        <v>1414</v>
      </c>
    </row>
    <row r="124" spans="1:6">
      <c r="A124" s="117" t="s">
        <v>168</v>
      </c>
      <c r="B124" s="117" t="s">
        <v>1998</v>
      </c>
      <c r="C124" s="118" t="s">
        <v>1999</v>
      </c>
      <c r="D124" s="117" t="s">
        <v>732</v>
      </c>
      <c r="E124" s="117" t="s">
        <v>1817</v>
      </c>
      <c r="F124" s="12" t="s">
        <v>1416</v>
      </c>
    </row>
    <row r="125" spans="1:6">
      <c r="A125" s="117" t="s">
        <v>168</v>
      </c>
      <c r="B125" s="117" t="s">
        <v>2000</v>
      </c>
      <c r="C125" s="118" t="s">
        <v>2001</v>
      </c>
      <c r="D125" s="117" t="s">
        <v>732</v>
      </c>
      <c r="E125" s="117" t="s">
        <v>1788</v>
      </c>
      <c r="F125" s="12" t="s">
        <v>1416</v>
      </c>
    </row>
    <row r="126" spans="1:6">
      <c r="A126" s="117" t="s">
        <v>168</v>
      </c>
      <c r="B126" s="117" t="s">
        <v>2002</v>
      </c>
      <c r="C126" s="118" t="s">
        <v>2003</v>
      </c>
      <c r="D126" s="117" t="s">
        <v>1052</v>
      </c>
      <c r="E126" s="117" t="s">
        <v>1788</v>
      </c>
      <c r="F126" s="12" t="s">
        <v>1418</v>
      </c>
    </row>
    <row r="127" spans="1:6">
      <c r="A127" s="117" t="s">
        <v>168</v>
      </c>
      <c r="B127" s="117" t="s">
        <v>2004</v>
      </c>
      <c r="C127" s="118" t="s">
        <v>2005</v>
      </c>
      <c r="D127" s="117" t="s">
        <v>732</v>
      </c>
      <c r="E127" s="117" t="s">
        <v>1791</v>
      </c>
      <c r="F127" s="12" t="s">
        <v>849</v>
      </c>
    </row>
    <row r="128" spans="1:6">
      <c r="A128" s="117" t="s">
        <v>168</v>
      </c>
      <c r="B128" s="117" t="s">
        <v>2006</v>
      </c>
      <c r="C128" s="118" t="s">
        <v>2007</v>
      </c>
      <c r="D128" s="117" t="s">
        <v>1052</v>
      </c>
      <c r="E128" s="117" t="s">
        <v>1817</v>
      </c>
      <c r="F128" s="12" t="s">
        <v>1426</v>
      </c>
    </row>
    <row r="129" spans="1:6">
      <c r="A129" s="117" t="s">
        <v>168</v>
      </c>
      <c r="B129" s="117" t="s">
        <v>2008</v>
      </c>
      <c r="C129" s="118" t="s">
        <v>2009</v>
      </c>
      <c r="D129" s="117" t="s">
        <v>1052</v>
      </c>
      <c r="E129" s="117" t="s">
        <v>1791</v>
      </c>
      <c r="F129" s="12" t="s">
        <v>1424</v>
      </c>
    </row>
    <row r="130" spans="1:6">
      <c r="A130" s="117" t="s">
        <v>168</v>
      </c>
      <c r="B130" s="117" t="s">
        <v>2010</v>
      </c>
      <c r="C130" s="118" t="s">
        <v>2011</v>
      </c>
      <c r="D130" s="117" t="s">
        <v>1052</v>
      </c>
      <c r="E130" s="117" t="s">
        <v>1788</v>
      </c>
      <c r="F130" s="12" t="s">
        <v>1424</v>
      </c>
    </row>
    <row r="131" spans="1:6">
      <c r="A131" s="117" t="s">
        <v>168</v>
      </c>
      <c r="B131" s="117" t="s">
        <v>2012</v>
      </c>
      <c r="C131" s="118" t="s">
        <v>2013</v>
      </c>
      <c r="D131" s="117" t="s">
        <v>732</v>
      </c>
      <c r="E131" s="117" t="s">
        <v>1802</v>
      </c>
      <c r="F131" s="12" t="s">
        <v>2014</v>
      </c>
    </row>
    <row r="132" spans="1:6">
      <c r="A132" s="117" t="s">
        <v>168</v>
      </c>
      <c r="B132" s="117" t="s">
        <v>2015</v>
      </c>
      <c r="C132" s="118" t="s">
        <v>2016</v>
      </c>
      <c r="D132" s="117" t="s">
        <v>1052</v>
      </c>
      <c r="E132" s="117" t="s">
        <v>1802</v>
      </c>
      <c r="F132" s="12" t="s">
        <v>2017</v>
      </c>
    </row>
    <row r="133" spans="1:6">
      <c r="A133" s="117" t="s">
        <v>168</v>
      </c>
      <c r="B133" s="117" t="s">
        <v>2018</v>
      </c>
      <c r="C133" s="118" t="s">
        <v>2019</v>
      </c>
      <c r="D133" s="117" t="s">
        <v>1052</v>
      </c>
      <c r="E133" s="117" t="s">
        <v>1805</v>
      </c>
      <c r="F133" s="12"/>
    </row>
    <row r="134" spans="1:6">
      <c r="A134" s="117" t="s">
        <v>168</v>
      </c>
      <c r="B134" s="117" t="s">
        <v>2020</v>
      </c>
      <c r="C134" s="118" t="s">
        <v>2021</v>
      </c>
      <c r="D134" s="117" t="s">
        <v>308</v>
      </c>
      <c r="E134" s="117" t="s">
        <v>1788</v>
      </c>
      <c r="F134" s="12" t="s">
        <v>2014</v>
      </c>
    </row>
    <row r="135" spans="1:6">
      <c r="A135" s="117" t="s">
        <v>168</v>
      </c>
      <c r="B135" s="117" t="s">
        <v>2022</v>
      </c>
      <c r="C135" s="118" t="s">
        <v>2023</v>
      </c>
      <c r="D135" s="117" t="s">
        <v>308</v>
      </c>
      <c r="E135" s="117" t="s">
        <v>1791</v>
      </c>
      <c r="F135" s="12" t="s">
        <v>1434</v>
      </c>
    </row>
    <row r="136" spans="1:6">
      <c r="A136" s="117" t="s">
        <v>168</v>
      </c>
      <c r="B136" s="117" t="s">
        <v>2024</v>
      </c>
      <c r="C136" s="118" t="s">
        <v>2025</v>
      </c>
      <c r="D136" s="117" t="s">
        <v>308</v>
      </c>
      <c r="E136" s="117" t="s">
        <v>1788</v>
      </c>
      <c r="F136" s="12" t="s">
        <v>1438</v>
      </c>
    </row>
    <row r="137" spans="1:6">
      <c r="A137" s="117" t="s">
        <v>168</v>
      </c>
      <c r="B137" s="117" t="s">
        <v>2026</v>
      </c>
      <c r="C137" s="118" t="s">
        <v>2027</v>
      </c>
      <c r="D137" s="117" t="s">
        <v>308</v>
      </c>
      <c r="E137" s="117" t="s">
        <v>1805</v>
      </c>
      <c r="F137" s="12" t="s">
        <v>1432</v>
      </c>
    </row>
    <row r="138" spans="1:6">
      <c r="A138" s="117" t="s">
        <v>168</v>
      </c>
      <c r="B138" s="117" t="s">
        <v>2028</v>
      </c>
      <c r="C138" s="118" t="s">
        <v>2029</v>
      </c>
      <c r="D138" s="117" t="s">
        <v>308</v>
      </c>
      <c r="E138" s="117" t="s">
        <v>1791</v>
      </c>
      <c r="F138" s="12" t="s">
        <v>1438</v>
      </c>
    </row>
    <row r="139" spans="1:6">
      <c r="A139" s="117" t="s">
        <v>168</v>
      </c>
      <c r="B139" s="117" t="s">
        <v>2030</v>
      </c>
      <c r="C139" s="118" t="s">
        <v>2031</v>
      </c>
      <c r="D139" s="117" t="s">
        <v>308</v>
      </c>
      <c r="E139" s="117" t="s">
        <v>1817</v>
      </c>
      <c r="F139" s="12" t="s">
        <v>1432</v>
      </c>
    </row>
    <row r="140" spans="1:6">
      <c r="A140" s="117" t="s">
        <v>168</v>
      </c>
      <c r="B140" s="117" t="s">
        <v>2032</v>
      </c>
      <c r="C140" s="118" t="s">
        <v>2033</v>
      </c>
      <c r="D140" s="117" t="s">
        <v>732</v>
      </c>
      <c r="E140" s="117" t="s">
        <v>1817</v>
      </c>
      <c r="F140" s="12" t="s">
        <v>2014</v>
      </c>
    </row>
    <row r="141" spans="1:6">
      <c r="A141" s="117"/>
      <c r="B141" s="117"/>
      <c r="C141" s="118"/>
      <c r="D141" s="117"/>
      <c r="E141" s="117"/>
      <c r="F141" s="12"/>
    </row>
    <row r="142" spans="1:6">
      <c r="A142" s="117"/>
      <c r="B142" s="117"/>
      <c r="C142" s="118"/>
      <c r="D142" s="117"/>
      <c r="E142" s="117"/>
      <c r="F142" s="12"/>
    </row>
    <row r="143" spans="1:6">
      <c r="A143" s="117"/>
      <c r="B143" s="117"/>
      <c r="C143" s="118"/>
      <c r="D143" s="117"/>
      <c r="E143" s="117"/>
      <c r="F143" s="12"/>
    </row>
    <row r="144" spans="1:6">
      <c r="A144" s="117" t="s">
        <v>413</v>
      </c>
      <c r="B144" s="117" t="s">
        <v>2034</v>
      </c>
      <c r="C144" s="118" t="s">
        <v>2035</v>
      </c>
      <c r="D144" s="117" t="s">
        <v>1052</v>
      </c>
      <c r="E144" s="117" t="s">
        <v>1788</v>
      </c>
      <c r="F144" s="12"/>
    </row>
    <row r="145" spans="1:6">
      <c r="A145" s="117" t="s">
        <v>413</v>
      </c>
      <c r="B145" s="117" t="s">
        <v>2036</v>
      </c>
      <c r="C145" s="118" t="s">
        <v>2037</v>
      </c>
      <c r="D145" s="117" t="s">
        <v>732</v>
      </c>
      <c r="E145" s="117" t="s">
        <v>1788</v>
      </c>
      <c r="F145" s="12"/>
    </row>
    <row r="146" spans="1:6">
      <c r="A146" s="117" t="s">
        <v>413</v>
      </c>
      <c r="B146" s="117" t="s">
        <v>2038</v>
      </c>
      <c r="C146" s="118" t="s">
        <v>2039</v>
      </c>
      <c r="D146" s="117" t="s">
        <v>732</v>
      </c>
      <c r="E146" s="117" t="s">
        <v>1788</v>
      </c>
      <c r="F146" s="12"/>
    </row>
    <row r="147" spans="1:6">
      <c r="A147" s="117" t="s">
        <v>413</v>
      </c>
      <c r="B147" s="117" t="s">
        <v>2040</v>
      </c>
      <c r="C147" s="118" t="s">
        <v>2041</v>
      </c>
      <c r="D147" s="117" t="s">
        <v>732</v>
      </c>
      <c r="E147" s="117" t="s">
        <v>1788</v>
      </c>
      <c r="F147" s="12"/>
    </row>
    <row r="148" spans="1:6">
      <c r="A148" s="117" t="s">
        <v>413</v>
      </c>
      <c r="B148" s="117" t="s">
        <v>2042</v>
      </c>
      <c r="C148" s="118" t="s">
        <v>2043</v>
      </c>
      <c r="D148" s="117" t="s">
        <v>732</v>
      </c>
      <c r="E148" s="117" t="s">
        <v>1791</v>
      </c>
      <c r="F148" s="12"/>
    </row>
    <row r="149" spans="1:6">
      <c r="A149" s="117" t="s">
        <v>413</v>
      </c>
      <c r="B149" s="117" t="s">
        <v>2044</v>
      </c>
      <c r="C149" s="118" t="s">
        <v>2045</v>
      </c>
      <c r="D149" s="117" t="s">
        <v>732</v>
      </c>
      <c r="E149" s="117" t="s">
        <v>1805</v>
      </c>
      <c r="F149" s="12"/>
    </row>
    <row r="150" spans="1:6">
      <c r="A150" s="117" t="s">
        <v>413</v>
      </c>
      <c r="B150" s="117" t="s">
        <v>2046</v>
      </c>
      <c r="C150" s="118" t="s">
        <v>2047</v>
      </c>
      <c r="D150" s="117" t="s">
        <v>732</v>
      </c>
      <c r="E150" s="117" t="s">
        <v>1791</v>
      </c>
      <c r="F150" s="12"/>
    </row>
    <row r="151" spans="1:6">
      <c r="A151" s="117" t="s">
        <v>413</v>
      </c>
      <c r="B151" s="117" t="s">
        <v>2048</v>
      </c>
      <c r="C151" s="118" t="s">
        <v>2049</v>
      </c>
      <c r="D151" s="117" t="s">
        <v>732</v>
      </c>
      <c r="E151" s="117" t="s">
        <v>1788</v>
      </c>
      <c r="F151" s="12"/>
    </row>
    <row r="152" spans="1:6">
      <c r="A152" s="117" t="s">
        <v>413</v>
      </c>
      <c r="B152" s="117" t="s">
        <v>2050</v>
      </c>
      <c r="C152" s="118" t="s">
        <v>2051</v>
      </c>
      <c r="D152" s="117" t="s">
        <v>732</v>
      </c>
      <c r="E152" s="117" t="s">
        <v>1788</v>
      </c>
      <c r="F152" s="12"/>
    </row>
    <row r="153" spans="1:6">
      <c r="A153" s="117" t="s">
        <v>413</v>
      </c>
      <c r="B153" s="117" t="s">
        <v>2052</v>
      </c>
      <c r="C153" s="118" t="s">
        <v>2053</v>
      </c>
      <c r="D153" s="117" t="s">
        <v>732</v>
      </c>
      <c r="E153" s="117" t="s">
        <v>1788</v>
      </c>
      <c r="F153" s="12"/>
    </row>
    <row r="154" spans="1:6">
      <c r="A154" s="117" t="s">
        <v>413</v>
      </c>
      <c r="B154" s="117" t="s">
        <v>2054</v>
      </c>
      <c r="C154" s="118" t="s">
        <v>2055</v>
      </c>
      <c r="D154" s="117" t="s">
        <v>732</v>
      </c>
      <c r="E154" s="117" t="s">
        <v>1791</v>
      </c>
      <c r="F154" s="12"/>
    </row>
    <row r="155" spans="1:6">
      <c r="A155" s="117" t="s">
        <v>413</v>
      </c>
      <c r="B155" s="117" t="s">
        <v>2056</v>
      </c>
      <c r="C155" s="118" t="s">
        <v>2057</v>
      </c>
      <c r="D155" s="117" t="s">
        <v>732</v>
      </c>
      <c r="E155" s="117" t="s">
        <v>1791</v>
      </c>
      <c r="F155" s="12"/>
    </row>
    <row r="156" spans="1:6">
      <c r="A156" s="117" t="s">
        <v>413</v>
      </c>
      <c r="B156" s="117" t="s">
        <v>2058</v>
      </c>
      <c r="C156" s="118" t="s">
        <v>2059</v>
      </c>
      <c r="D156" s="117" t="s">
        <v>1052</v>
      </c>
      <c r="E156" s="117" t="s">
        <v>1805</v>
      </c>
      <c r="F156" s="12"/>
    </row>
    <row r="157" spans="1:6">
      <c r="A157" s="117"/>
      <c r="B157" s="117"/>
      <c r="C157" s="118"/>
      <c r="D157" s="117"/>
      <c r="E157" s="117"/>
      <c r="F157" s="12"/>
    </row>
    <row r="158" spans="1:6">
      <c r="A158" s="117"/>
      <c r="B158" s="117"/>
      <c r="C158" s="118"/>
      <c r="D158" s="117"/>
      <c r="E158" s="117"/>
      <c r="F158" s="12"/>
    </row>
    <row r="159" spans="1:6">
      <c r="A159" s="117"/>
      <c r="B159" s="117"/>
      <c r="C159" s="118"/>
      <c r="D159" s="117"/>
      <c r="E159" s="117"/>
      <c r="F159" s="12"/>
    </row>
    <row r="160" spans="1:6">
      <c r="A160" s="117" t="s">
        <v>891</v>
      </c>
      <c r="B160" s="117" t="s">
        <v>2060</v>
      </c>
      <c r="C160" s="118" t="s">
        <v>2061</v>
      </c>
      <c r="D160" s="117" t="s">
        <v>732</v>
      </c>
      <c r="E160" s="117" t="s">
        <v>1817</v>
      </c>
      <c r="F160" s="12" t="s">
        <v>1461</v>
      </c>
    </row>
    <row r="161" spans="1:6">
      <c r="A161" s="117" t="s">
        <v>891</v>
      </c>
      <c r="B161" s="117" t="s">
        <v>2062</v>
      </c>
      <c r="C161" s="118" t="s">
        <v>2063</v>
      </c>
      <c r="D161" s="117" t="s">
        <v>732</v>
      </c>
      <c r="E161" s="117" t="s">
        <v>1805</v>
      </c>
      <c r="F161" s="12" t="s">
        <v>2064</v>
      </c>
    </row>
    <row r="162" spans="1:6">
      <c r="A162" s="117" t="s">
        <v>891</v>
      </c>
      <c r="B162" s="117" t="s">
        <v>2065</v>
      </c>
      <c r="C162" s="118" t="s">
        <v>2066</v>
      </c>
      <c r="D162" s="117" t="s">
        <v>732</v>
      </c>
      <c r="E162" s="117" t="s">
        <v>1788</v>
      </c>
      <c r="F162" s="12" t="s">
        <v>1451</v>
      </c>
    </row>
    <row r="163" spans="1:6">
      <c r="A163" s="117" t="s">
        <v>891</v>
      </c>
      <c r="B163" s="117" t="s">
        <v>2067</v>
      </c>
      <c r="C163" s="118" t="s">
        <v>2068</v>
      </c>
      <c r="D163" s="117" t="s">
        <v>732</v>
      </c>
      <c r="E163" s="117" t="s">
        <v>1805</v>
      </c>
      <c r="F163" s="12" t="s">
        <v>1461</v>
      </c>
    </row>
    <row r="164" spans="1:6">
      <c r="A164" s="117" t="s">
        <v>891</v>
      </c>
      <c r="B164" s="117" t="s">
        <v>2069</v>
      </c>
      <c r="C164" s="118" t="s">
        <v>2070</v>
      </c>
      <c r="D164" s="117" t="s">
        <v>732</v>
      </c>
      <c r="E164" s="117" t="s">
        <v>1805</v>
      </c>
      <c r="F164" s="12" t="s">
        <v>1453</v>
      </c>
    </row>
    <row r="165" spans="1:6">
      <c r="A165" s="117" t="s">
        <v>891</v>
      </c>
      <c r="B165" s="117" t="s">
        <v>2071</v>
      </c>
      <c r="C165" s="118" t="s">
        <v>2072</v>
      </c>
      <c r="D165" s="117" t="s">
        <v>732</v>
      </c>
      <c r="E165" s="117" t="s">
        <v>1788</v>
      </c>
      <c r="F165" s="12" t="s">
        <v>1453</v>
      </c>
    </row>
    <row r="166" spans="1:6">
      <c r="A166" s="117" t="s">
        <v>891</v>
      </c>
      <c r="B166" s="117" t="s">
        <v>2073</v>
      </c>
      <c r="C166" s="118" t="s">
        <v>2074</v>
      </c>
      <c r="D166" s="117" t="s">
        <v>732</v>
      </c>
      <c r="E166" s="117" t="s">
        <v>1805</v>
      </c>
      <c r="F166" s="12" t="s">
        <v>1455</v>
      </c>
    </row>
    <row r="167" spans="1:6">
      <c r="A167" s="117" t="s">
        <v>891</v>
      </c>
      <c r="B167" s="117" t="s">
        <v>2075</v>
      </c>
      <c r="C167" s="118" t="s">
        <v>2076</v>
      </c>
      <c r="D167" s="117" t="s">
        <v>732</v>
      </c>
      <c r="E167" s="117" t="s">
        <v>1805</v>
      </c>
      <c r="F167" s="12" t="s">
        <v>893</v>
      </c>
    </row>
    <row r="168" spans="1:6">
      <c r="A168" s="117" t="s">
        <v>891</v>
      </c>
      <c r="B168" s="117" t="s">
        <v>2077</v>
      </c>
      <c r="C168" s="118" t="s">
        <v>2078</v>
      </c>
      <c r="D168" s="117" t="s">
        <v>732</v>
      </c>
      <c r="E168" s="117" t="s">
        <v>1805</v>
      </c>
      <c r="F168" s="12" t="s">
        <v>1461</v>
      </c>
    </row>
    <row r="169" spans="1:6">
      <c r="A169" s="117" t="s">
        <v>891</v>
      </c>
      <c r="B169" s="117" t="s">
        <v>2079</v>
      </c>
      <c r="C169" s="118" t="s">
        <v>2080</v>
      </c>
      <c r="D169" s="117" t="s">
        <v>732</v>
      </c>
      <c r="E169" s="117" t="s">
        <v>1817</v>
      </c>
      <c r="F169" s="12" t="s">
        <v>1466</v>
      </c>
    </row>
    <row r="170" spans="1:6">
      <c r="A170" s="117" t="s">
        <v>891</v>
      </c>
      <c r="B170" s="117" t="s">
        <v>2081</v>
      </c>
      <c r="C170" s="118" t="s">
        <v>2082</v>
      </c>
      <c r="D170" s="117" t="s">
        <v>732</v>
      </c>
      <c r="E170" s="117" t="s">
        <v>1805</v>
      </c>
      <c r="F170" s="12" t="s">
        <v>1461</v>
      </c>
    </row>
    <row r="171" spans="1:6">
      <c r="A171" s="117" t="s">
        <v>891</v>
      </c>
      <c r="B171" s="117" t="s">
        <v>2083</v>
      </c>
      <c r="C171" s="118" t="s">
        <v>2084</v>
      </c>
      <c r="D171" s="117" t="s">
        <v>732</v>
      </c>
      <c r="E171" s="117" t="s">
        <v>1805</v>
      </c>
      <c r="F171" s="12" t="s">
        <v>1463</v>
      </c>
    </row>
    <row r="172" spans="1:6">
      <c r="A172" s="117" t="s">
        <v>891</v>
      </c>
      <c r="B172" s="117" t="s">
        <v>2085</v>
      </c>
      <c r="C172" s="118" t="s">
        <v>2086</v>
      </c>
      <c r="D172" s="117" t="s">
        <v>732</v>
      </c>
      <c r="E172" s="117" t="s">
        <v>1805</v>
      </c>
      <c r="F172" s="12" t="s">
        <v>2064</v>
      </c>
    </row>
    <row r="173" spans="1:6">
      <c r="A173" s="117" t="s">
        <v>891</v>
      </c>
      <c r="B173" s="117" t="s">
        <v>2087</v>
      </c>
      <c r="C173" s="118" t="s">
        <v>2088</v>
      </c>
      <c r="D173" s="117" t="s">
        <v>732</v>
      </c>
      <c r="E173" s="117" t="s">
        <v>1788</v>
      </c>
      <c r="F173" s="12" t="s">
        <v>1458</v>
      </c>
    </row>
    <row r="174" spans="1:6">
      <c r="A174" s="117" t="s">
        <v>891</v>
      </c>
      <c r="B174" s="117" t="s">
        <v>2089</v>
      </c>
      <c r="C174" s="118" t="s">
        <v>2090</v>
      </c>
      <c r="D174" s="117" t="s">
        <v>732</v>
      </c>
      <c r="E174" s="117" t="s">
        <v>1791</v>
      </c>
      <c r="F174" s="12" t="s">
        <v>1460</v>
      </c>
    </row>
    <row r="175" spans="1:6">
      <c r="A175" s="117" t="s">
        <v>891</v>
      </c>
      <c r="B175" s="117" t="s">
        <v>2091</v>
      </c>
      <c r="C175" s="118" t="s">
        <v>2092</v>
      </c>
      <c r="D175" s="117" t="s">
        <v>732</v>
      </c>
      <c r="E175" s="117" t="s">
        <v>1788</v>
      </c>
      <c r="F175" s="12" t="s">
        <v>896</v>
      </c>
    </row>
    <row r="176" spans="1:6">
      <c r="A176" s="117" t="s">
        <v>891</v>
      </c>
      <c r="B176" s="117" t="s">
        <v>2093</v>
      </c>
      <c r="C176" s="118" t="s">
        <v>2094</v>
      </c>
      <c r="D176" s="117" t="s">
        <v>732</v>
      </c>
      <c r="E176" s="117" t="s">
        <v>1805</v>
      </c>
      <c r="F176" s="12" t="s">
        <v>896</v>
      </c>
    </row>
    <row r="177" spans="1:6">
      <c r="A177" s="117"/>
      <c r="B177" s="117"/>
      <c r="C177" s="118"/>
      <c r="D177" s="117"/>
      <c r="E177" s="117"/>
    </row>
    <row r="178" spans="1:6">
      <c r="A178" s="120"/>
      <c r="B178" s="120"/>
      <c r="C178" s="121"/>
      <c r="D178" s="120"/>
      <c r="E178" s="120"/>
    </row>
    <row r="179" spans="1:6">
      <c r="A179" s="120"/>
      <c r="B179" s="120"/>
      <c r="C179" s="121"/>
      <c r="D179" s="120"/>
      <c r="E179" s="120"/>
    </row>
    <row r="180" spans="1:6">
      <c r="A180" s="117" t="s">
        <v>316</v>
      </c>
      <c r="B180" s="117" t="s">
        <v>2095</v>
      </c>
      <c r="C180" s="118" t="s">
        <v>2096</v>
      </c>
      <c r="D180" s="117" t="s">
        <v>308</v>
      </c>
      <c r="E180" s="117" t="s">
        <v>1802</v>
      </c>
      <c r="F180" s="12" t="s">
        <v>1480</v>
      </c>
    </row>
    <row r="181" spans="1:6">
      <c r="A181" s="117" t="s">
        <v>316</v>
      </c>
      <c r="B181" s="117" t="s">
        <v>2097</v>
      </c>
      <c r="C181" s="118" t="s">
        <v>2098</v>
      </c>
      <c r="D181" s="117" t="s">
        <v>308</v>
      </c>
      <c r="E181" s="117" t="s">
        <v>1805</v>
      </c>
      <c r="F181" s="12" t="s">
        <v>1482</v>
      </c>
    </row>
    <row r="182" spans="1:6">
      <c r="A182" s="117" t="s">
        <v>316</v>
      </c>
      <c r="B182" s="117" t="s">
        <v>2099</v>
      </c>
      <c r="C182" s="118" t="s">
        <v>2100</v>
      </c>
      <c r="D182" s="117" t="s">
        <v>308</v>
      </c>
      <c r="E182" s="117" t="s">
        <v>1805</v>
      </c>
      <c r="F182" s="12" t="s">
        <v>1488</v>
      </c>
    </row>
    <row r="183" spans="1:6">
      <c r="A183" s="117" t="s">
        <v>316</v>
      </c>
      <c r="B183" s="117" t="s">
        <v>2101</v>
      </c>
      <c r="C183" s="118" t="s">
        <v>2102</v>
      </c>
      <c r="D183" s="117" t="s">
        <v>308</v>
      </c>
      <c r="E183" s="117" t="s">
        <v>1805</v>
      </c>
      <c r="F183" s="12" t="s">
        <v>1484</v>
      </c>
    </row>
    <row r="184" spans="1:6">
      <c r="A184" s="117" t="s">
        <v>316</v>
      </c>
      <c r="B184" s="117" t="s">
        <v>2103</v>
      </c>
      <c r="C184" s="118" t="s">
        <v>2104</v>
      </c>
      <c r="D184" s="117" t="s">
        <v>308</v>
      </c>
      <c r="E184" s="117" t="s">
        <v>1802</v>
      </c>
      <c r="F184" s="12" t="s">
        <v>1498</v>
      </c>
    </row>
    <row r="185" spans="1:6">
      <c r="A185" s="117" t="s">
        <v>316</v>
      </c>
      <c r="B185" s="117" t="s">
        <v>2105</v>
      </c>
      <c r="C185" s="118" t="s">
        <v>2106</v>
      </c>
      <c r="D185" s="117" t="s">
        <v>308</v>
      </c>
      <c r="E185" s="117" t="s">
        <v>1802</v>
      </c>
      <c r="F185" s="12" t="s">
        <v>1496</v>
      </c>
    </row>
    <row r="186" spans="1:6">
      <c r="A186" s="117" t="s">
        <v>316</v>
      </c>
      <c r="B186" s="117" t="s">
        <v>2107</v>
      </c>
      <c r="C186" s="118" t="s">
        <v>2108</v>
      </c>
      <c r="D186" s="117" t="s">
        <v>308</v>
      </c>
      <c r="E186" s="117" t="s">
        <v>1805</v>
      </c>
      <c r="F186" s="12" t="s">
        <v>1500</v>
      </c>
    </row>
    <row r="187" spans="1:6">
      <c r="A187" s="117" t="s">
        <v>316</v>
      </c>
      <c r="B187" s="117" t="s">
        <v>2109</v>
      </c>
      <c r="C187" s="118" t="s">
        <v>2110</v>
      </c>
      <c r="D187" s="117" t="s">
        <v>308</v>
      </c>
      <c r="E187" s="117" t="s">
        <v>1817</v>
      </c>
      <c r="F187" s="12" t="s">
        <v>1500</v>
      </c>
    </row>
    <row r="188" spans="1:6">
      <c r="A188" s="117" t="s">
        <v>316</v>
      </c>
      <c r="B188" s="117" t="s">
        <v>2111</v>
      </c>
      <c r="C188" s="118" t="s">
        <v>2112</v>
      </c>
      <c r="D188" s="117" t="s">
        <v>308</v>
      </c>
      <c r="E188" s="117" t="s">
        <v>1788</v>
      </c>
      <c r="F188" s="12" t="s">
        <v>1500</v>
      </c>
    </row>
    <row r="189" spans="1:6">
      <c r="A189" s="117" t="s">
        <v>316</v>
      </c>
      <c r="B189" s="117" t="s">
        <v>2113</v>
      </c>
      <c r="C189" s="118" t="s">
        <v>2114</v>
      </c>
      <c r="D189" s="117" t="s">
        <v>732</v>
      </c>
      <c r="E189" s="117" t="s">
        <v>1805</v>
      </c>
      <c r="F189" s="12" t="s">
        <v>2115</v>
      </c>
    </row>
    <row r="190" spans="1:6">
      <c r="A190" s="117" t="s">
        <v>316</v>
      </c>
      <c r="B190" s="117" t="s">
        <v>2116</v>
      </c>
      <c r="C190" s="118" t="s">
        <v>2117</v>
      </c>
      <c r="D190" s="117" t="s">
        <v>732</v>
      </c>
      <c r="E190" s="117" t="s">
        <v>1817</v>
      </c>
      <c r="F190" s="12" t="s">
        <v>905</v>
      </c>
    </row>
    <row r="191" spans="1:6">
      <c r="A191" s="117" t="s">
        <v>316</v>
      </c>
      <c r="B191" s="117" t="s">
        <v>2118</v>
      </c>
      <c r="C191" s="118" t="s">
        <v>2119</v>
      </c>
      <c r="D191" s="117" t="s">
        <v>1052</v>
      </c>
      <c r="E191" s="117" t="s">
        <v>1791</v>
      </c>
      <c r="F191" s="12" t="s">
        <v>2115</v>
      </c>
    </row>
    <row r="192" spans="1:6">
      <c r="A192" s="117" t="s">
        <v>316</v>
      </c>
      <c r="B192" s="117" t="s">
        <v>2120</v>
      </c>
      <c r="C192" s="118" t="s">
        <v>2121</v>
      </c>
      <c r="D192" s="117" t="s">
        <v>308</v>
      </c>
      <c r="E192" s="117" t="s">
        <v>1791</v>
      </c>
      <c r="F192" s="12" t="s">
        <v>903</v>
      </c>
    </row>
    <row r="193" spans="1:6">
      <c r="A193" s="117" t="s">
        <v>316</v>
      </c>
      <c r="B193" s="117" t="s">
        <v>2122</v>
      </c>
      <c r="C193" s="118" t="s">
        <v>2123</v>
      </c>
      <c r="D193" s="117" t="s">
        <v>1052</v>
      </c>
      <c r="E193" s="117" t="s">
        <v>1817</v>
      </c>
      <c r="F193" s="12" t="s">
        <v>907</v>
      </c>
    </row>
    <row r="194" spans="1:6">
      <c r="A194" s="117" t="s">
        <v>316</v>
      </c>
      <c r="B194" s="117" t="s">
        <v>2124</v>
      </c>
      <c r="C194" s="118" t="s">
        <v>2125</v>
      </c>
      <c r="D194" s="117" t="s">
        <v>1052</v>
      </c>
      <c r="E194" s="117" t="s">
        <v>1817</v>
      </c>
      <c r="F194" s="12" t="s">
        <v>907</v>
      </c>
    </row>
    <row r="195" spans="1:6">
      <c r="A195" s="117" t="s">
        <v>316</v>
      </c>
      <c r="B195" s="117" t="s">
        <v>2126</v>
      </c>
      <c r="C195" s="118" t="s">
        <v>2127</v>
      </c>
      <c r="D195" s="117" t="s">
        <v>732</v>
      </c>
      <c r="E195" s="117" t="s">
        <v>1802</v>
      </c>
      <c r="F195" s="12" t="s">
        <v>912</v>
      </c>
    </row>
    <row r="196" spans="1:6">
      <c r="A196" s="117" t="s">
        <v>316</v>
      </c>
      <c r="B196" s="117" t="s">
        <v>2128</v>
      </c>
      <c r="C196" s="118" t="s">
        <v>2129</v>
      </c>
      <c r="D196" s="117" t="s">
        <v>732</v>
      </c>
      <c r="E196" s="117" t="s">
        <v>1805</v>
      </c>
      <c r="F196" s="12" t="s">
        <v>914</v>
      </c>
    </row>
    <row r="197" spans="1:6">
      <c r="A197" s="117" t="s">
        <v>316</v>
      </c>
      <c r="B197" s="117" t="s">
        <v>2130</v>
      </c>
      <c r="C197" s="118" t="s">
        <v>2131</v>
      </c>
      <c r="D197" s="117" t="s">
        <v>1052</v>
      </c>
      <c r="E197" s="117" t="s">
        <v>1802</v>
      </c>
      <c r="F197" s="12" t="s">
        <v>1513</v>
      </c>
    </row>
    <row r="198" spans="1:6">
      <c r="A198" s="117" t="s">
        <v>316</v>
      </c>
      <c r="B198" s="117" t="s">
        <v>2132</v>
      </c>
      <c r="C198" s="118" t="s">
        <v>2133</v>
      </c>
      <c r="D198" s="117" t="s">
        <v>308</v>
      </c>
      <c r="E198" s="117" t="s">
        <v>1788</v>
      </c>
      <c r="F198" s="12" t="s">
        <v>1515</v>
      </c>
    </row>
    <row r="199" spans="1:6">
      <c r="A199" s="120"/>
      <c r="B199" s="120"/>
      <c r="C199" s="121"/>
      <c r="D199" s="120"/>
      <c r="E199" s="120"/>
    </row>
    <row r="200" spans="1:6">
      <c r="A200" s="120"/>
      <c r="B200" s="120"/>
      <c r="C200" s="121"/>
      <c r="D200" s="120"/>
      <c r="E200" s="120"/>
    </row>
    <row r="201" spans="1:6">
      <c r="A201" s="120"/>
      <c r="B201" s="120"/>
      <c r="C201" s="121"/>
      <c r="D201" s="120"/>
      <c r="E201" s="120"/>
    </row>
    <row r="202" spans="1:6">
      <c r="A202" s="117" t="s">
        <v>331</v>
      </c>
      <c r="B202" s="117" t="s">
        <v>2134</v>
      </c>
      <c r="C202" s="118" t="s">
        <v>2135</v>
      </c>
      <c r="D202" s="117" t="s">
        <v>732</v>
      </c>
      <c r="E202" s="117" t="s">
        <v>1802</v>
      </c>
    </row>
    <row r="203" spans="1:6">
      <c r="A203" s="117" t="s">
        <v>331</v>
      </c>
      <c r="B203" s="117" t="s">
        <v>2136</v>
      </c>
      <c r="C203" s="118" t="s">
        <v>2137</v>
      </c>
      <c r="D203" s="117" t="s">
        <v>732</v>
      </c>
      <c r="E203" s="117" t="s">
        <v>1802</v>
      </c>
    </row>
    <row r="204" spans="1:6">
      <c r="A204" s="117" t="s">
        <v>331</v>
      </c>
      <c r="B204" s="117" t="s">
        <v>2138</v>
      </c>
      <c r="C204" s="118" t="s">
        <v>2139</v>
      </c>
      <c r="D204" s="117" t="s">
        <v>732</v>
      </c>
      <c r="E204" s="117" t="s">
        <v>1817</v>
      </c>
    </row>
    <row r="205" spans="1:6">
      <c r="A205" s="117" t="s">
        <v>331</v>
      </c>
      <c r="B205" s="117" t="s">
        <v>2140</v>
      </c>
      <c r="C205" s="118" t="s">
        <v>2141</v>
      </c>
      <c r="D205" s="117" t="s">
        <v>732</v>
      </c>
      <c r="E205" s="117" t="s">
        <v>1802</v>
      </c>
    </row>
    <row r="206" spans="1:6">
      <c r="A206" s="117" t="s">
        <v>331</v>
      </c>
      <c r="B206" s="117" t="s">
        <v>2142</v>
      </c>
      <c r="C206" s="118" t="s">
        <v>2143</v>
      </c>
      <c r="D206" s="117" t="s">
        <v>1052</v>
      </c>
      <c r="E206" s="117" t="s">
        <v>1791</v>
      </c>
    </row>
    <row r="207" spans="1:6">
      <c r="A207" s="117" t="s">
        <v>331</v>
      </c>
      <c r="B207" s="117" t="s">
        <v>2144</v>
      </c>
      <c r="C207" s="118" t="s">
        <v>2145</v>
      </c>
      <c r="D207" s="117" t="s">
        <v>308</v>
      </c>
      <c r="E207" s="117" t="s">
        <v>1805</v>
      </c>
    </row>
    <row r="208" spans="1:6">
      <c r="A208" s="117" t="s">
        <v>331</v>
      </c>
      <c r="B208" s="117" t="s">
        <v>2146</v>
      </c>
      <c r="C208" s="118" t="s">
        <v>2147</v>
      </c>
      <c r="D208" s="117" t="s">
        <v>308</v>
      </c>
      <c r="E208" s="117" t="s">
        <v>1802</v>
      </c>
    </row>
    <row r="209" spans="1:6">
      <c r="A209" s="117" t="s">
        <v>331</v>
      </c>
      <c r="B209" s="117" t="s">
        <v>2148</v>
      </c>
      <c r="C209" s="118" t="s">
        <v>2149</v>
      </c>
      <c r="D209" s="117" t="s">
        <v>308</v>
      </c>
      <c r="E209" s="117" t="s">
        <v>1805</v>
      </c>
    </row>
    <row r="210" spans="1:6">
      <c r="A210" s="120"/>
      <c r="B210" s="120"/>
      <c r="C210" s="121"/>
      <c r="D210" s="120"/>
      <c r="E210" s="120"/>
    </row>
    <row r="211" spans="1:6">
      <c r="A211" s="120"/>
      <c r="B211" s="120"/>
      <c r="C211" s="121"/>
      <c r="D211" s="120"/>
      <c r="E211" s="120"/>
    </row>
    <row r="212" spans="1:6">
      <c r="A212" s="120"/>
      <c r="B212" s="120"/>
      <c r="C212" s="121"/>
      <c r="D212" s="120"/>
      <c r="E212" s="120"/>
    </row>
    <row r="213" spans="1:6">
      <c r="A213" s="117" t="s">
        <v>350</v>
      </c>
      <c r="B213" s="117" t="s">
        <v>238</v>
      </c>
      <c r="C213" s="118" t="s">
        <v>2150</v>
      </c>
      <c r="D213" s="117" t="s">
        <v>732</v>
      </c>
      <c r="E213" s="117" t="s">
        <v>1817</v>
      </c>
    </row>
    <row r="214" spans="1:6">
      <c r="A214" s="120"/>
      <c r="B214" s="120"/>
      <c r="C214" s="121"/>
      <c r="D214" s="120"/>
      <c r="E214" s="120"/>
    </row>
    <row r="215" spans="1:6">
      <c r="A215" s="120"/>
      <c r="B215" s="120"/>
      <c r="C215" s="121"/>
      <c r="D215" s="120"/>
      <c r="E215" s="120"/>
    </row>
    <row r="216" spans="1:6">
      <c r="A216" s="120"/>
      <c r="B216" s="120"/>
      <c r="C216" s="121"/>
      <c r="D216" s="120"/>
      <c r="E216" s="120"/>
    </row>
    <row r="217" spans="1:6">
      <c r="A217" s="110" t="s">
        <v>1696</v>
      </c>
      <c r="B217" s="110" t="s">
        <v>2151</v>
      </c>
      <c r="C217" s="109" t="s">
        <v>2152</v>
      </c>
      <c r="D217" s="110" t="s">
        <v>732</v>
      </c>
      <c r="E217" s="110" t="s">
        <v>1802</v>
      </c>
      <c r="F217" s="109" t="s">
        <v>1698</v>
      </c>
    </row>
    <row r="218" spans="1:6">
      <c r="A218" s="110" t="s">
        <v>1696</v>
      </c>
      <c r="B218" s="110" t="s">
        <v>2153</v>
      </c>
      <c r="C218" s="109" t="s">
        <v>2154</v>
      </c>
      <c r="D218" s="110" t="s">
        <v>732</v>
      </c>
      <c r="E218" s="110" t="s">
        <v>1802</v>
      </c>
      <c r="F218" s="109" t="s">
        <v>1698</v>
      </c>
    </row>
    <row r="219" spans="1:6">
      <c r="A219" s="110" t="s">
        <v>1696</v>
      </c>
      <c r="B219" s="110" t="s">
        <v>2155</v>
      </c>
      <c r="C219" s="109" t="s">
        <v>2156</v>
      </c>
      <c r="D219" s="110" t="s">
        <v>732</v>
      </c>
      <c r="E219" s="110" t="s">
        <v>1802</v>
      </c>
      <c r="F219" s="109" t="s">
        <v>1698</v>
      </c>
    </row>
    <row r="220" spans="1:6">
      <c r="A220" s="110" t="s">
        <v>1696</v>
      </c>
      <c r="B220" s="110" t="s">
        <v>2157</v>
      </c>
      <c r="C220" s="109" t="s">
        <v>2158</v>
      </c>
      <c r="D220" s="110" t="s">
        <v>1052</v>
      </c>
      <c r="E220" s="110" t="s">
        <v>1817</v>
      </c>
      <c r="F220" s="109" t="s">
        <v>1706</v>
      </c>
    </row>
    <row r="221" spans="1:6">
      <c r="A221" s="110" t="s">
        <v>1696</v>
      </c>
      <c r="B221" s="110" t="s">
        <v>2159</v>
      </c>
      <c r="C221" s="109" t="s">
        <v>2160</v>
      </c>
      <c r="D221" s="110" t="s">
        <v>1052</v>
      </c>
      <c r="E221" s="110" t="s">
        <v>1817</v>
      </c>
      <c r="F221" s="109" t="s">
        <v>1716</v>
      </c>
    </row>
    <row r="222" spans="1:6">
      <c r="A222" s="110" t="s">
        <v>1696</v>
      </c>
      <c r="B222" s="110" t="s">
        <v>2161</v>
      </c>
      <c r="C222" s="109" t="s">
        <v>2162</v>
      </c>
      <c r="D222" s="110" t="s">
        <v>1052</v>
      </c>
      <c r="E222" s="110" t="s">
        <v>1805</v>
      </c>
      <c r="F222" s="109" t="s">
        <v>1719</v>
      </c>
    </row>
    <row r="223" spans="1:6">
      <c r="A223" s="110" t="s">
        <v>1696</v>
      </c>
      <c r="B223" s="110" t="s">
        <v>2163</v>
      </c>
      <c r="C223" s="109" t="s">
        <v>2164</v>
      </c>
      <c r="D223" s="110" t="s">
        <v>1052</v>
      </c>
      <c r="E223" s="110" t="s">
        <v>1802</v>
      </c>
    </row>
    <row r="224" spans="1:6">
      <c r="A224" s="110" t="s">
        <v>1696</v>
      </c>
      <c r="B224" s="110" t="s">
        <v>2165</v>
      </c>
      <c r="C224" s="109" t="s">
        <v>2166</v>
      </c>
      <c r="D224" s="110" t="s">
        <v>308</v>
      </c>
      <c r="E224" s="110" t="s">
        <v>1817</v>
      </c>
    </row>
    <row r="225" spans="1:6">
      <c r="A225" s="110" t="s">
        <v>1696</v>
      </c>
      <c r="B225" s="110" t="s">
        <v>2167</v>
      </c>
      <c r="C225" s="109" t="s">
        <v>2168</v>
      </c>
      <c r="D225" s="110" t="s">
        <v>308</v>
      </c>
      <c r="E225" s="110" t="s">
        <v>1788</v>
      </c>
    </row>
    <row r="226" spans="1:6">
      <c r="A226" s="120"/>
      <c r="B226" s="120"/>
      <c r="C226" s="121"/>
      <c r="D226" s="120"/>
      <c r="E226" s="120"/>
    </row>
    <row r="227" spans="1:6">
      <c r="A227" s="120"/>
      <c r="B227" s="120"/>
      <c r="C227" s="121"/>
      <c r="D227" s="120"/>
      <c r="E227" s="120"/>
    </row>
    <row r="228" spans="1:6">
      <c r="A228" s="120"/>
      <c r="B228" s="120"/>
      <c r="C228" s="121"/>
      <c r="D228" s="120"/>
      <c r="E228" s="120"/>
    </row>
    <row r="229" spans="1:6">
      <c r="A229" s="110" t="s">
        <v>324</v>
      </c>
      <c r="B229" s="110" t="s">
        <v>2169</v>
      </c>
      <c r="C229" s="109" t="s">
        <v>2170</v>
      </c>
      <c r="D229" s="110" t="s">
        <v>308</v>
      </c>
      <c r="E229" s="110" t="s">
        <v>1791</v>
      </c>
    </row>
    <row r="230" spans="1:6">
      <c r="A230" s="110" t="s">
        <v>324</v>
      </c>
      <c r="B230" s="110" t="s">
        <v>2171</v>
      </c>
      <c r="C230" s="109" t="s">
        <v>2172</v>
      </c>
      <c r="D230" s="110" t="s">
        <v>308</v>
      </c>
      <c r="E230" s="110" t="s">
        <v>1805</v>
      </c>
    </row>
    <row r="231" spans="1:6">
      <c r="A231" s="110" t="s">
        <v>324</v>
      </c>
      <c r="B231" s="110" t="s">
        <v>2173</v>
      </c>
      <c r="C231" s="109" t="s">
        <v>2174</v>
      </c>
      <c r="D231" s="110" t="s">
        <v>308</v>
      </c>
      <c r="E231" s="110" t="s">
        <v>1791</v>
      </c>
    </row>
    <row r="232" spans="1:6">
      <c r="A232" s="110" t="s">
        <v>324</v>
      </c>
      <c r="B232" s="110" t="s">
        <v>2175</v>
      </c>
      <c r="C232" s="109" t="s">
        <v>2176</v>
      </c>
      <c r="D232" s="110" t="s">
        <v>308</v>
      </c>
      <c r="E232" s="110" t="s">
        <v>1791</v>
      </c>
    </row>
    <row r="233" spans="1:6">
      <c r="A233" s="110" t="s">
        <v>324</v>
      </c>
      <c r="B233" s="110" t="s">
        <v>2177</v>
      </c>
      <c r="C233" s="109" t="s">
        <v>2178</v>
      </c>
      <c r="D233" s="110" t="s">
        <v>308</v>
      </c>
      <c r="E233" s="110" t="s">
        <v>1805</v>
      </c>
    </row>
    <row r="234" spans="1:6">
      <c r="A234" s="110" t="s">
        <v>324</v>
      </c>
      <c r="B234" s="110" t="s">
        <v>2179</v>
      </c>
      <c r="C234" s="109" t="s">
        <v>2180</v>
      </c>
      <c r="D234" s="110" t="s">
        <v>308</v>
      </c>
      <c r="E234" s="110" t="s">
        <v>1791</v>
      </c>
      <c r="F234" s="109" t="s">
        <v>1040</v>
      </c>
    </row>
    <row r="235" spans="1:6">
      <c r="A235" s="110" t="s">
        <v>324</v>
      </c>
      <c r="B235" s="110" t="s">
        <v>2181</v>
      </c>
      <c r="C235" s="109" t="s">
        <v>2182</v>
      </c>
      <c r="D235" s="110" t="s">
        <v>308</v>
      </c>
      <c r="E235" s="110" t="s">
        <v>1805</v>
      </c>
      <c r="F235" s="109" t="s">
        <v>1043</v>
      </c>
    </row>
    <row r="236" spans="1:6">
      <c r="A236" s="110" t="s">
        <v>324</v>
      </c>
      <c r="B236" s="110" t="s">
        <v>2183</v>
      </c>
      <c r="C236" s="109" t="s">
        <v>2005</v>
      </c>
      <c r="D236" s="110" t="s">
        <v>732</v>
      </c>
      <c r="E236" s="110" t="s">
        <v>1791</v>
      </c>
      <c r="F236" s="109" t="s">
        <v>849</v>
      </c>
    </row>
    <row r="237" spans="1:6">
      <c r="A237" s="110" t="s">
        <v>324</v>
      </c>
      <c r="B237" s="110" t="s">
        <v>2184</v>
      </c>
      <c r="C237" s="109" t="s">
        <v>2185</v>
      </c>
      <c r="D237" s="110" t="s">
        <v>1052</v>
      </c>
      <c r="E237" s="110" t="s">
        <v>1817</v>
      </c>
      <c r="F237" s="109" t="s">
        <v>1426</v>
      </c>
    </row>
    <row r="238" spans="1:6">
      <c r="A238" s="110" t="s">
        <v>324</v>
      </c>
      <c r="B238" s="110" t="s">
        <v>2186</v>
      </c>
      <c r="C238" s="109" t="s">
        <v>2009</v>
      </c>
      <c r="D238" s="110" t="s">
        <v>1052</v>
      </c>
      <c r="E238" s="110" t="s">
        <v>1791</v>
      </c>
      <c r="F238" s="109" t="s">
        <v>1424</v>
      </c>
    </row>
    <row r="239" spans="1:6">
      <c r="A239" s="110" t="s">
        <v>324</v>
      </c>
      <c r="B239" s="110" t="s">
        <v>2187</v>
      </c>
      <c r="C239" s="109" t="s">
        <v>2011</v>
      </c>
      <c r="D239" s="110" t="s">
        <v>1052</v>
      </c>
      <c r="E239" s="110" t="s">
        <v>1788</v>
      </c>
      <c r="F239" s="109" t="s">
        <v>1424</v>
      </c>
    </row>
    <row r="240" spans="1:6">
      <c r="A240" s="120"/>
      <c r="B240" s="120"/>
      <c r="C240" s="121"/>
      <c r="D240" s="120"/>
      <c r="E240" s="120"/>
    </row>
    <row r="241" spans="1:5">
      <c r="A241" s="120"/>
      <c r="B241" s="120"/>
      <c r="C241" s="121"/>
      <c r="D241" s="120"/>
      <c r="E241" s="120"/>
    </row>
    <row r="242" spans="1:5">
      <c r="A242" s="120"/>
      <c r="B242" s="120"/>
      <c r="C242" s="121"/>
      <c r="D242" s="120"/>
      <c r="E242" s="120"/>
    </row>
    <row r="243" spans="1:5">
      <c r="A243" s="120"/>
      <c r="B243" s="120"/>
      <c r="C243" s="121"/>
      <c r="D243" s="120"/>
      <c r="E243" s="120"/>
    </row>
    <row r="244" spans="1:5">
      <c r="A244" s="120"/>
      <c r="B244" s="120"/>
      <c r="C244" s="121"/>
      <c r="D244" s="120"/>
      <c r="E244" s="120"/>
    </row>
    <row r="245" spans="1:5">
      <c r="A245" s="120"/>
      <c r="B245" s="120"/>
      <c r="C245" s="121"/>
      <c r="D245" s="120"/>
      <c r="E245" s="120"/>
    </row>
    <row r="246" spans="1:5">
      <c r="A246" s="120"/>
      <c r="B246" s="120"/>
      <c r="C246" s="121"/>
      <c r="D246" s="120"/>
      <c r="E246" s="120"/>
    </row>
    <row r="247" spans="1:5">
      <c r="A247" s="120"/>
      <c r="B247" s="120"/>
      <c r="C247" s="121"/>
      <c r="D247" s="120"/>
      <c r="E247" s="120"/>
    </row>
    <row r="248" spans="1:5">
      <c r="A248" s="120"/>
      <c r="B248" s="120"/>
      <c r="C248" s="121"/>
      <c r="D248" s="120"/>
      <c r="E248" s="120"/>
    </row>
    <row r="249" spans="1:5">
      <c r="A249" s="120"/>
      <c r="B249" s="120"/>
      <c r="C249" s="121"/>
      <c r="D249" s="120"/>
      <c r="E249" s="120"/>
    </row>
    <row r="250" spans="1:5">
      <c r="A250" s="120"/>
      <c r="B250" s="120"/>
      <c r="C250" s="121"/>
      <c r="D250" s="120"/>
      <c r="E250" s="120"/>
    </row>
    <row r="251" spans="1:5">
      <c r="A251" s="120"/>
      <c r="B251" s="120"/>
      <c r="C251" s="121"/>
      <c r="D251" s="120"/>
      <c r="E251" s="120"/>
    </row>
    <row r="252" spans="1:5">
      <c r="A252" s="120"/>
      <c r="B252" s="120"/>
      <c r="C252" s="121"/>
      <c r="D252" s="120"/>
      <c r="E252" s="120"/>
    </row>
    <row r="253" spans="1:5">
      <c r="A253" s="120"/>
      <c r="B253" s="120"/>
      <c r="C253" s="121"/>
      <c r="D253" s="120"/>
      <c r="E253" s="120"/>
    </row>
    <row r="254" spans="1:5">
      <c r="A254" s="120"/>
      <c r="B254" s="120"/>
      <c r="C254" s="121"/>
      <c r="D254" s="120"/>
      <c r="E254" s="120"/>
    </row>
    <row r="255" spans="1:5">
      <c r="A255" s="120"/>
      <c r="B255" s="120"/>
      <c r="C255" s="121"/>
      <c r="D255" s="120"/>
      <c r="E255" s="120"/>
    </row>
    <row r="256" spans="1:5">
      <c r="A256" s="120"/>
      <c r="B256" s="120"/>
      <c r="C256" s="121"/>
      <c r="D256" s="120"/>
      <c r="E256" s="120"/>
    </row>
    <row r="257" spans="1:5">
      <c r="A257" s="120"/>
      <c r="B257" s="120"/>
      <c r="C257" s="121"/>
      <c r="D257" s="120"/>
      <c r="E257" s="120"/>
    </row>
    <row r="258" spans="1:5">
      <c r="A258" s="120"/>
      <c r="B258" s="120"/>
      <c r="C258" s="121"/>
      <c r="D258" s="120"/>
      <c r="E258" s="120"/>
    </row>
    <row r="259" spans="1:5">
      <c r="A259" s="120"/>
      <c r="B259" s="120"/>
      <c r="C259" s="121"/>
      <c r="D259" s="120"/>
      <c r="E259" s="120"/>
    </row>
    <row r="260" spans="1:5">
      <c r="A260" s="120"/>
      <c r="B260" s="120"/>
      <c r="C260" s="121"/>
      <c r="D260" s="120"/>
      <c r="E260" s="120"/>
    </row>
    <row r="261" spans="1:5">
      <c r="A261" s="120"/>
      <c r="B261" s="120"/>
      <c r="C261" s="121"/>
      <c r="D261" s="120"/>
      <c r="E261" s="120"/>
    </row>
    <row r="262" spans="1:5">
      <c r="A262" s="120"/>
      <c r="B262" s="120"/>
      <c r="C262" s="121"/>
      <c r="D262" s="120"/>
      <c r="E262" s="120"/>
    </row>
    <row r="263" spans="1:5">
      <c r="A263" s="120"/>
      <c r="B263" s="120"/>
      <c r="C263" s="121"/>
      <c r="D263" s="120"/>
      <c r="E263" s="120"/>
    </row>
    <row r="264" spans="1:5">
      <c r="A264" s="120"/>
      <c r="B264" s="120"/>
      <c r="C264" s="121"/>
      <c r="D264" s="120"/>
      <c r="E264" s="120"/>
    </row>
    <row r="265" spans="1:5">
      <c r="A265" s="120"/>
      <c r="B265" s="120"/>
      <c r="C265" s="121"/>
      <c r="D265" s="120"/>
      <c r="E265" s="120"/>
    </row>
    <row r="266" spans="1:5">
      <c r="A266" s="120"/>
      <c r="B266" s="120"/>
      <c r="C266" s="121"/>
      <c r="D266" s="120"/>
      <c r="E266" s="120"/>
    </row>
    <row r="267" spans="1:5">
      <c r="A267" s="120"/>
      <c r="B267" s="120"/>
      <c r="C267" s="121"/>
      <c r="D267" s="120"/>
      <c r="E267" s="120"/>
    </row>
    <row r="268" spans="1:5">
      <c r="A268" s="120"/>
      <c r="B268" s="120"/>
      <c r="C268" s="121"/>
      <c r="D268" s="120"/>
      <c r="E268" s="120"/>
    </row>
    <row r="269" spans="1:5">
      <c r="A269" s="120"/>
      <c r="B269" s="120"/>
      <c r="C269" s="121"/>
      <c r="D269" s="120"/>
      <c r="E269" s="120"/>
    </row>
    <row r="270" spans="1:5">
      <c r="A270" s="120"/>
      <c r="B270" s="120"/>
      <c r="C270" s="121"/>
      <c r="D270" s="120"/>
      <c r="E270" s="120"/>
    </row>
    <row r="271" spans="1:5">
      <c r="A271" s="120"/>
      <c r="B271" s="120"/>
      <c r="C271" s="121"/>
      <c r="D271" s="120"/>
      <c r="E271" s="120"/>
    </row>
    <row r="272" spans="1:5">
      <c r="A272" s="120"/>
      <c r="B272" s="120"/>
      <c r="C272" s="121"/>
      <c r="D272" s="120"/>
      <c r="E272" s="120"/>
    </row>
    <row r="273" spans="1:5">
      <c r="A273" s="120"/>
      <c r="B273" s="120"/>
      <c r="C273" s="121"/>
      <c r="D273" s="120"/>
      <c r="E273" s="120"/>
    </row>
    <row r="274" spans="1:5">
      <c r="A274" s="120"/>
      <c r="B274" s="120"/>
      <c r="C274" s="121"/>
      <c r="D274" s="120"/>
      <c r="E274" s="120"/>
    </row>
    <row r="275" spans="1:5">
      <c r="A275" s="120"/>
      <c r="B275" s="120"/>
      <c r="C275" s="121"/>
      <c r="D275" s="120"/>
      <c r="E275" s="120"/>
    </row>
    <row r="276" spans="1:5">
      <c r="A276" s="120"/>
      <c r="B276" s="120"/>
      <c r="C276" s="121"/>
      <c r="D276" s="120"/>
      <c r="E276" s="120"/>
    </row>
    <row r="277" spans="1:5">
      <c r="A277" s="120"/>
      <c r="B277" s="120"/>
      <c r="C277" s="121"/>
      <c r="D277" s="120"/>
      <c r="E277" s="120"/>
    </row>
    <row r="278" spans="1:5">
      <c r="A278" s="120"/>
      <c r="B278" s="120"/>
      <c r="C278" s="121"/>
      <c r="D278" s="120"/>
      <c r="E278" s="120"/>
    </row>
    <row r="279" spans="1:5">
      <c r="A279" s="120"/>
      <c r="B279" s="120"/>
      <c r="C279" s="121"/>
      <c r="D279" s="120"/>
      <c r="E279" s="120"/>
    </row>
    <row r="280" spans="1:5">
      <c r="A280" s="120"/>
      <c r="B280" s="120"/>
      <c r="C280" s="121"/>
      <c r="D280" s="120"/>
      <c r="E280" s="120"/>
    </row>
    <row r="281" spans="1:5">
      <c r="A281" s="120"/>
      <c r="B281" s="120"/>
      <c r="C281" s="121"/>
      <c r="D281" s="120"/>
      <c r="E281" s="120"/>
    </row>
    <row r="282" spans="1:5">
      <c r="A282" s="120"/>
      <c r="B282" s="120"/>
      <c r="C282" s="121"/>
      <c r="D282" s="120"/>
      <c r="E282" s="120"/>
    </row>
    <row r="283" spans="1:5">
      <c r="A283" s="120"/>
      <c r="B283" s="120"/>
      <c r="C283" s="121"/>
      <c r="D283" s="120"/>
      <c r="E283" s="120"/>
    </row>
    <row r="284" spans="1:5">
      <c r="A284" s="120"/>
      <c r="B284" s="120"/>
      <c r="C284" s="121"/>
      <c r="D284" s="120"/>
      <c r="E284" s="120"/>
    </row>
    <row r="285" spans="1:5">
      <c r="A285" s="120"/>
      <c r="B285" s="120"/>
      <c r="C285" s="121"/>
      <c r="D285" s="120"/>
      <c r="E285" s="120"/>
    </row>
    <row r="286" spans="1:5">
      <c r="A286" s="120"/>
      <c r="B286" s="120"/>
      <c r="C286" s="121"/>
      <c r="D286" s="120"/>
      <c r="E286" s="120"/>
    </row>
    <row r="287" spans="1:5">
      <c r="A287" s="120"/>
      <c r="B287" s="120"/>
      <c r="C287" s="121"/>
      <c r="D287" s="120"/>
      <c r="E287" s="120"/>
    </row>
    <row r="288" spans="1:5">
      <c r="A288" s="120"/>
      <c r="B288" s="120"/>
      <c r="C288" s="121"/>
      <c r="D288" s="120"/>
      <c r="E288" s="120"/>
    </row>
    <row r="289" spans="1:5">
      <c r="A289" s="120"/>
      <c r="B289" s="120"/>
      <c r="C289" s="121"/>
      <c r="D289" s="120"/>
      <c r="E289" s="120"/>
    </row>
    <row r="290" spans="1:5">
      <c r="A290" s="120"/>
      <c r="B290" s="120"/>
      <c r="C290" s="121"/>
      <c r="D290" s="120"/>
      <c r="E290" s="120"/>
    </row>
    <row r="291" spans="1:5">
      <c r="A291" s="120"/>
      <c r="B291" s="120"/>
      <c r="C291" s="121"/>
      <c r="D291" s="120"/>
      <c r="E291" s="120"/>
    </row>
    <row r="292" spans="1:5">
      <c r="A292" s="120"/>
      <c r="B292" s="120"/>
      <c r="C292" s="121"/>
      <c r="D292" s="120"/>
      <c r="E292" s="120"/>
    </row>
    <row r="293" spans="1:5">
      <c r="A293" s="120"/>
      <c r="B293" s="120"/>
      <c r="C293" s="121"/>
      <c r="D293" s="120"/>
      <c r="E293" s="120"/>
    </row>
    <row r="294" spans="1:5">
      <c r="A294" s="120"/>
      <c r="B294" s="120"/>
      <c r="C294" s="121"/>
      <c r="D294" s="120"/>
      <c r="E294" s="120"/>
    </row>
    <row r="295" spans="1:5">
      <c r="A295" s="120"/>
      <c r="B295" s="120"/>
      <c r="C295" s="121"/>
      <c r="D295" s="120"/>
      <c r="E295" s="120"/>
    </row>
    <row r="296" spans="1:5">
      <c r="A296" s="120"/>
      <c r="B296" s="120"/>
      <c r="C296" s="121"/>
      <c r="D296" s="120"/>
      <c r="E296" s="120"/>
    </row>
    <row r="297" spans="1:5">
      <c r="A297" s="120"/>
      <c r="B297" s="120"/>
      <c r="C297" s="121"/>
      <c r="D297" s="120"/>
      <c r="E297" s="120"/>
    </row>
    <row r="298" spans="1:5">
      <c r="A298" s="120"/>
      <c r="B298" s="120"/>
      <c r="C298" s="121"/>
      <c r="D298" s="120"/>
      <c r="E298" s="120"/>
    </row>
    <row r="299" spans="1:5">
      <c r="A299" s="120"/>
      <c r="B299" s="120"/>
      <c r="C299" s="121"/>
      <c r="D299" s="120"/>
      <c r="E299" s="120"/>
    </row>
    <row r="300" spans="1:5">
      <c r="A300" s="120"/>
      <c r="B300" s="120"/>
      <c r="C300" s="121"/>
      <c r="D300" s="120"/>
      <c r="E300" s="120"/>
    </row>
    <row r="301" spans="1:5">
      <c r="A301" s="120"/>
      <c r="B301" s="120"/>
      <c r="C301" s="121"/>
      <c r="D301" s="120"/>
      <c r="E301" s="120"/>
    </row>
    <row r="302" spans="1:5">
      <c r="A302" s="120"/>
      <c r="B302" s="120"/>
      <c r="C302" s="121"/>
      <c r="D302" s="120"/>
      <c r="E302" s="120"/>
    </row>
    <row r="303" spans="1:5">
      <c r="A303" s="120"/>
      <c r="B303" s="120"/>
      <c r="C303" s="121"/>
      <c r="D303" s="120"/>
      <c r="E303" s="120"/>
    </row>
    <row r="304" spans="1:5">
      <c r="A304" s="120"/>
      <c r="B304" s="120"/>
      <c r="C304" s="121"/>
      <c r="D304" s="120"/>
      <c r="E304" s="120"/>
    </row>
    <row r="305" spans="1:5">
      <c r="A305" s="120"/>
      <c r="B305" s="120"/>
      <c r="C305" s="121"/>
      <c r="D305" s="120"/>
      <c r="E305" s="120"/>
    </row>
    <row r="306" spans="1:5">
      <c r="A306" s="120"/>
      <c r="B306" s="120"/>
      <c r="C306" s="121"/>
      <c r="D306" s="120"/>
      <c r="E306" s="120"/>
    </row>
    <row r="307" spans="1:5">
      <c r="A307" s="120"/>
      <c r="B307" s="120"/>
      <c r="C307" s="121"/>
      <c r="D307" s="120"/>
      <c r="E307" s="120"/>
    </row>
    <row r="308" spans="1:5">
      <c r="A308" s="120"/>
      <c r="B308" s="120"/>
      <c r="C308" s="121"/>
      <c r="D308" s="120"/>
      <c r="E308" s="120"/>
    </row>
    <row r="309" spans="1:5">
      <c r="A309" s="120"/>
      <c r="B309" s="120"/>
      <c r="C309" s="121"/>
      <c r="D309" s="120"/>
      <c r="E309" s="120"/>
    </row>
    <row r="310" spans="1:5">
      <c r="A310" s="120"/>
      <c r="B310" s="120"/>
      <c r="C310" s="121"/>
      <c r="D310" s="120"/>
      <c r="E310" s="120"/>
    </row>
    <row r="311" spans="1:5">
      <c r="A311" s="120"/>
      <c r="B311" s="120"/>
      <c r="C311" s="121"/>
      <c r="D311" s="120"/>
      <c r="E311" s="120"/>
    </row>
    <row r="312" spans="1:5">
      <c r="A312" s="120"/>
      <c r="B312" s="120"/>
      <c r="C312" s="121"/>
      <c r="D312" s="120"/>
      <c r="E312" s="120"/>
    </row>
    <row r="313" spans="1:5">
      <c r="A313" s="120"/>
      <c r="B313" s="120"/>
      <c r="C313" s="121"/>
      <c r="D313" s="120"/>
      <c r="E313" s="120"/>
    </row>
    <row r="314" spans="1:5">
      <c r="A314" s="120"/>
      <c r="B314" s="120"/>
      <c r="C314" s="121"/>
      <c r="D314" s="120"/>
      <c r="E314" s="120"/>
    </row>
    <row r="315" spans="1:5">
      <c r="A315" s="120"/>
      <c r="B315" s="120"/>
      <c r="C315" s="121"/>
      <c r="D315" s="120"/>
      <c r="E315" s="120"/>
    </row>
    <row r="316" spans="1:5">
      <c r="A316" s="120"/>
      <c r="B316" s="120"/>
      <c r="C316" s="121"/>
      <c r="D316" s="120"/>
      <c r="E316" s="120"/>
    </row>
    <row r="317" spans="1:5">
      <c r="A317" s="120"/>
      <c r="B317" s="120"/>
      <c r="C317" s="121"/>
      <c r="D317" s="120"/>
      <c r="E317" s="120"/>
    </row>
    <row r="318" spans="1:5">
      <c r="A318" s="120"/>
      <c r="B318" s="120"/>
      <c r="C318" s="121"/>
      <c r="D318" s="120"/>
      <c r="E318" s="120"/>
    </row>
    <row r="319" spans="1:5">
      <c r="A319" s="120"/>
      <c r="B319" s="120"/>
      <c r="C319" s="121"/>
      <c r="D319" s="120"/>
      <c r="E319" s="120"/>
    </row>
    <row r="320" spans="1:5">
      <c r="A320" s="120"/>
      <c r="B320" s="120"/>
      <c r="C320" s="121"/>
      <c r="D320" s="120"/>
      <c r="E320" s="120"/>
    </row>
    <row r="321" spans="1:5">
      <c r="A321" s="120"/>
      <c r="B321" s="120"/>
      <c r="C321" s="121"/>
      <c r="D321" s="120"/>
      <c r="E321" s="120"/>
    </row>
    <row r="322" spans="1:5">
      <c r="A322" s="120"/>
      <c r="B322" s="120"/>
      <c r="C322" s="121"/>
      <c r="D322" s="120"/>
      <c r="E322" s="120"/>
    </row>
    <row r="323" spans="1:5">
      <c r="A323" s="120"/>
      <c r="B323" s="120"/>
      <c r="C323" s="121"/>
      <c r="D323" s="120"/>
      <c r="E323" s="120"/>
    </row>
    <row r="324" spans="1:5">
      <c r="A324" s="120"/>
      <c r="B324" s="120"/>
      <c r="C324" s="121"/>
      <c r="D324" s="120"/>
      <c r="E324" s="120"/>
    </row>
    <row r="325" spans="1:5">
      <c r="A325" s="120"/>
      <c r="B325" s="120"/>
      <c r="C325" s="121"/>
      <c r="D325" s="120"/>
      <c r="E325" s="120"/>
    </row>
    <row r="326" spans="1:5">
      <c r="A326" s="120"/>
      <c r="B326" s="120"/>
      <c r="C326" s="121"/>
      <c r="D326" s="120"/>
      <c r="E326" s="120"/>
    </row>
    <row r="327" spans="1:5">
      <c r="A327" s="120"/>
      <c r="B327" s="120"/>
      <c r="C327" s="121"/>
      <c r="D327" s="120"/>
      <c r="E327" s="120"/>
    </row>
    <row r="328" spans="1:5">
      <c r="A328" s="120"/>
      <c r="B328" s="120"/>
      <c r="C328" s="121"/>
      <c r="D328" s="120"/>
      <c r="E328" s="120"/>
    </row>
    <row r="329" spans="1:5">
      <c r="A329" s="120"/>
      <c r="B329" s="120"/>
      <c r="C329" s="121"/>
      <c r="D329" s="120"/>
      <c r="E329" s="120"/>
    </row>
    <row r="330" spans="1:5">
      <c r="A330" s="120"/>
      <c r="B330" s="120"/>
      <c r="C330" s="121"/>
      <c r="D330" s="120"/>
      <c r="E330" s="120"/>
    </row>
    <row r="331" spans="1:5">
      <c r="A331" s="120"/>
      <c r="B331" s="120"/>
      <c r="C331" s="121"/>
      <c r="D331" s="120"/>
      <c r="E331" s="120"/>
    </row>
    <row r="332" spans="1:5">
      <c r="A332" s="120"/>
      <c r="B332" s="120"/>
      <c r="C332" s="121"/>
      <c r="D332" s="120"/>
      <c r="E332" s="120"/>
    </row>
    <row r="333" spans="1:5">
      <c r="A333" s="120"/>
      <c r="B333" s="120"/>
      <c r="C333" s="121"/>
      <c r="D333" s="120"/>
      <c r="E333" s="120"/>
    </row>
    <row r="334" spans="1:5">
      <c r="A334" s="120"/>
      <c r="B334" s="120"/>
      <c r="C334" s="121"/>
      <c r="D334" s="120"/>
      <c r="E334" s="120"/>
    </row>
    <row r="335" spans="1:5">
      <c r="A335" s="120"/>
      <c r="B335" s="120"/>
      <c r="C335" s="121"/>
      <c r="D335" s="120"/>
      <c r="E335" s="120"/>
    </row>
    <row r="336" spans="1:5">
      <c r="A336" s="120"/>
      <c r="B336" s="120"/>
      <c r="C336" s="121"/>
      <c r="D336" s="120"/>
      <c r="E336" s="120"/>
    </row>
    <row r="337" spans="1:5">
      <c r="A337" s="120"/>
      <c r="B337" s="120"/>
      <c r="C337" s="121"/>
      <c r="D337" s="120"/>
      <c r="E337" s="120"/>
    </row>
    <row r="338" spans="1:5">
      <c r="A338" s="120"/>
      <c r="B338" s="120"/>
      <c r="C338" s="121"/>
      <c r="D338" s="120"/>
      <c r="E338" s="120"/>
    </row>
    <row r="339" spans="1:5">
      <c r="A339" s="120"/>
      <c r="B339" s="120"/>
      <c r="C339" s="121"/>
      <c r="D339" s="120"/>
      <c r="E339" s="120"/>
    </row>
    <row r="340" spans="1:5">
      <c r="A340" s="120"/>
      <c r="B340" s="120"/>
      <c r="C340" s="121"/>
      <c r="D340" s="120"/>
      <c r="E340" s="120"/>
    </row>
    <row r="341" spans="1:5">
      <c r="A341" s="120"/>
      <c r="B341" s="120"/>
      <c r="C341" s="121"/>
      <c r="D341" s="120"/>
      <c r="E341" s="120"/>
    </row>
    <row r="342" spans="1:5">
      <c r="A342" s="120"/>
      <c r="B342" s="120"/>
      <c r="C342" s="121"/>
      <c r="D342" s="120"/>
      <c r="E342" s="120"/>
    </row>
    <row r="343" spans="1:5">
      <c r="A343" s="120"/>
      <c r="B343" s="120"/>
      <c r="C343" s="121"/>
      <c r="D343" s="120"/>
      <c r="E343" s="120"/>
    </row>
    <row r="344" spans="1:5">
      <c r="A344" s="120"/>
      <c r="B344" s="120"/>
      <c r="C344" s="121"/>
      <c r="D344" s="120"/>
      <c r="E344" s="120"/>
    </row>
    <row r="345" spans="1:5">
      <c r="A345" s="120"/>
      <c r="B345" s="120"/>
      <c r="C345" s="121"/>
      <c r="D345" s="120"/>
      <c r="E345" s="120"/>
    </row>
    <row r="346" spans="1:5">
      <c r="A346" s="120"/>
      <c r="B346" s="120"/>
      <c r="C346" s="121"/>
      <c r="D346" s="120"/>
      <c r="E346" s="120"/>
    </row>
    <row r="347" spans="1:5">
      <c r="A347" s="120"/>
      <c r="B347" s="120"/>
      <c r="C347" s="121"/>
      <c r="D347" s="120"/>
      <c r="E347" s="120"/>
    </row>
    <row r="348" spans="1:5">
      <c r="A348" s="120"/>
      <c r="B348" s="120"/>
      <c r="C348" s="121"/>
      <c r="D348" s="120"/>
      <c r="E348" s="120"/>
    </row>
    <row r="349" spans="1:5">
      <c r="A349" s="120"/>
      <c r="B349" s="120"/>
      <c r="C349" s="121"/>
      <c r="D349" s="120"/>
      <c r="E349" s="120"/>
    </row>
    <row r="350" spans="1:5">
      <c r="A350" s="120"/>
      <c r="B350" s="120"/>
      <c r="C350" s="121"/>
      <c r="D350" s="120"/>
      <c r="E350" s="120"/>
    </row>
    <row r="351" spans="1:5">
      <c r="A351" s="120"/>
      <c r="B351" s="120"/>
      <c r="C351" s="121"/>
      <c r="D351" s="120"/>
      <c r="E351" s="120"/>
    </row>
    <row r="352" spans="1:5">
      <c r="A352" s="120"/>
      <c r="B352" s="120"/>
      <c r="C352" s="121"/>
      <c r="D352" s="120"/>
      <c r="E352" s="120"/>
    </row>
    <row r="353" spans="1:5">
      <c r="A353" s="120"/>
      <c r="B353" s="120"/>
      <c r="C353" s="121"/>
      <c r="D353" s="120"/>
      <c r="E353" s="120"/>
    </row>
    <row r="354" spans="1:5">
      <c r="A354" s="120"/>
      <c r="B354" s="120"/>
      <c r="C354" s="121"/>
      <c r="D354" s="120"/>
      <c r="E354" s="120"/>
    </row>
    <row r="355" spans="1:5">
      <c r="A355" s="120"/>
      <c r="B355" s="120"/>
      <c r="C355" s="121"/>
      <c r="D355" s="120"/>
      <c r="E355" s="120"/>
    </row>
    <row r="356" spans="1:5">
      <c r="A356" s="120"/>
      <c r="B356" s="120"/>
      <c r="C356" s="121"/>
      <c r="D356" s="120"/>
      <c r="E356" s="120"/>
    </row>
    <row r="357" spans="1:5">
      <c r="A357" s="120"/>
      <c r="B357" s="120"/>
      <c r="C357" s="121"/>
      <c r="D357" s="120"/>
      <c r="E357" s="120"/>
    </row>
    <row r="358" spans="1:5">
      <c r="A358" s="120"/>
      <c r="B358" s="120"/>
      <c r="C358" s="121"/>
      <c r="D358" s="120"/>
      <c r="E358" s="120"/>
    </row>
    <row r="359" spans="1:5">
      <c r="A359" s="120"/>
      <c r="B359" s="120"/>
      <c r="C359" s="121"/>
      <c r="D359" s="120"/>
      <c r="E359" s="120"/>
    </row>
    <row r="360" spans="1:5">
      <c r="A360" s="120"/>
      <c r="B360" s="120"/>
      <c r="C360" s="121"/>
      <c r="D360" s="120"/>
      <c r="E360" s="120"/>
    </row>
    <row r="361" spans="1:5">
      <c r="A361" s="120"/>
      <c r="B361" s="120"/>
      <c r="C361" s="121"/>
      <c r="D361" s="120"/>
      <c r="E361" s="120"/>
    </row>
    <row r="362" spans="1:5">
      <c r="A362" s="120"/>
      <c r="B362" s="120"/>
      <c r="C362" s="121"/>
      <c r="D362" s="120"/>
      <c r="E362" s="120"/>
    </row>
    <row r="363" spans="1:5">
      <c r="A363" s="120"/>
      <c r="B363" s="120"/>
      <c r="C363" s="121"/>
      <c r="D363" s="120"/>
      <c r="E363" s="120"/>
    </row>
    <row r="364" spans="1:5">
      <c r="A364" s="120"/>
      <c r="B364" s="120"/>
      <c r="C364" s="121"/>
      <c r="D364" s="120"/>
      <c r="E364" s="120"/>
    </row>
    <row r="365" spans="1:5">
      <c r="A365" s="120"/>
      <c r="B365" s="120"/>
      <c r="C365" s="121"/>
      <c r="D365" s="120"/>
      <c r="E365" s="120"/>
    </row>
    <row r="366" spans="1:5">
      <c r="A366" s="120"/>
      <c r="B366" s="120"/>
      <c r="C366" s="121"/>
      <c r="D366" s="120"/>
      <c r="E366" s="120"/>
    </row>
    <row r="367" spans="1:5">
      <c r="A367" s="120"/>
      <c r="B367" s="120"/>
      <c r="C367" s="121"/>
      <c r="D367" s="120"/>
      <c r="E367" s="120"/>
    </row>
    <row r="368" spans="1:5">
      <c r="A368" s="120"/>
      <c r="B368" s="120"/>
      <c r="C368" s="121"/>
      <c r="D368" s="120"/>
      <c r="E368" s="120"/>
    </row>
    <row r="369" spans="1:5">
      <c r="A369" s="120"/>
      <c r="B369" s="120"/>
      <c r="C369" s="121"/>
      <c r="D369" s="120"/>
      <c r="E369" s="120"/>
    </row>
    <row r="370" spans="1:5">
      <c r="A370" s="120"/>
      <c r="B370" s="120"/>
      <c r="C370" s="121"/>
      <c r="D370" s="120"/>
      <c r="E370" s="120"/>
    </row>
    <row r="371" spans="1:5">
      <c r="A371" s="120"/>
      <c r="B371" s="120"/>
      <c r="C371" s="121"/>
      <c r="D371" s="120"/>
      <c r="E371" s="120"/>
    </row>
    <row r="372" spans="1:5">
      <c r="A372" s="120"/>
      <c r="B372" s="120"/>
      <c r="C372" s="121"/>
      <c r="D372" s="120"/>
      <c r="E372" s="120"/>
    </row>
    <row r="373" spans="1:5">
      <c r="A373" s="120"/>
      <c r="B373" s="120"/>
      <c r="C373" s="121"/>
      <c r="D373" s="120"/>
      <c r="E373" s="120"/>
    </row>
    <row r="374" spans="1:5">
      <c r="A374" s="120"/>
      <c r="B374" s="120"/>
      <c r="C374" s="121"/>
      <c r="D374" s="120"/>
      <c r="E374" s="120"/>
    </row>
    <row r="375" spans="1:5">
      <c r="A375" s="120"/>
      <c r="B375" s="120"/>
      <c r="C375" s="121"/>
      <c r="D375" s="120"/>
      <c r="E375" s="120"/>
    </row>
    <row r="376" spans="1:5">
      <c r="A376" s="120"/>
      <c r="B376" s="120"/>
      <c r="C376" s="121"/>
      <c r="D376" s="120"/>
      <c r="E376" s="120"/>
    </row>
    <row r="377" spans="1:5">
      <c r="A377" s="120"/>
      <c r="B377" s="120"/>
      <c r="C377" s="121"/>
      <c r="D377" s="120"/>
      <c r="E377" s="120"/>
    </row>
    <row r="378" spans="1:5">
      <c r="A378" s="120"/>
      <c r="B378" s="120"/>
      <c r="C378" s="121"/>
      <c r="D378" s="120"/>
      <c r="E378" s="120"/>
    </row>
    <row r="379" spans="1:5">
      <c r="A379" s="120"/>
      <c r="B379" s="120"/>
      <c r="C379" s="121"/>
      <c r="D379" s="120"/>
      <c r="E379" s="120"/>
    </row>
    <row r="380" spans="1:5">
      <c r="A380" s="120"/>
      <c r="B380" s="120"/>
      <c r="C380" s="121"/>
      <c r="D380" s="120"/>
      <c r="E380" s="120"/>
    </row>
    <row r="381" spans="1:5">
      <c r="A381" s="120"/>
      <c r="B381" s="120"/>
      <c r="C381" s="121"/>
      <c r="D381" s="120"/>
      <c r="E381" s="120"/>
    </row>
    <row r="382" spans="1:5">
      <c r="A382" s="120"/>
      <c r="B382" s="120"/>
      <c r="C382" s="121"/>
      <c r="D382" s="120"/>
      <c r="E382" s="120"/>
    </row>
    <row r="383" spans="1:5">
      <c r="A383" s="120"/>
      <c r="B383" s="120"/>
      <c r="C383" s="121"/>
      <c r="D383" s="120"/>
      <c r="E383" s="120"/>
    </row>
    <row r="384" spans="1:5">
      <c r="A384" s="120"/>
      <c r="B384" s="120"/>
      <c r="C384" s="121"/>
      <c r="D384" s="120"/>
      <c r="E384" s="120"/>
    </row>
    <row r="385" spans="1:5">
      <c r="A385" s="120"/>
      <c r="B385" s="120"/>
      <c r="C385" s="121"/>
      <c r="D385" s="120"/>
      <c r="E385" s="120"/>
    </row>
    <row r="386" spans="1:5">
      <c r="A386" s="120"/>
      <c r="B386" s="120"/>
      <c r="C386" s="121"/>
      <c r="D386" s="120"/>
      <c r="E386" s="120"/>
    </row>
    <row r="387" spans="1:5">
      <c r="A387" s="120"/>
      <c r="B387" s="120"/>
      <c r="C387" s="121"/>
      <c r="D387" s="120"/>
      <c r="E387" s="120"/>
    </row>
    <row r="388" spans="1:5">
      <c r="A388" s="120"/>
      <c r="B388" s="120"/>
      <c r="C388" s="121"/>
      <c r="D388" s="120"/>
      <c r="E388" s="120"/>
    </row>
    <row r="389" spans="1:5">
      <c r="A389" s="120"/>
      <c r="B389" s="120"/>
      <c r="C389" s="121"/>
      <c r="D389" s="120"/>
      <c r="E389" s="120"/>
    </row>
    <row r="390" spans="1:5">
      <c r="A390" s="120"/>
      <c r="B390" s="120"/>
      <c r="C390" s="121"/>
      <c r="D390" s="120"/>
      <c r="E390" s="120"/>
    </row>
    <row r="391" spans="1:5">
      <c r="A391" s="120"/>
      <c r="B391" s="120"/>
      <c r="C391" s="121"/>
      <c r="D391" s="120"/>
      <c r="E391" s="120"/>
    </row>
    <row r="392" spans="1:5">
      <c r="A392" s="120"/>
      <c r="B392" s="120"/>
      <c r="C392" s="121"/>
      <c r="D392" s="120"/>
      <c r="E392" s="120"/>
    </row>
    <row r="393" spans="1:5">
      <c r="A393" s="120"/>
      <c r="B393" s="120"/>
      <c r="C393" s="121"/>
      <c r="D393" s="120"/>
      <c r="E393" s="120"/>
    </row>
    <row r="394" spans="1:5">
      <c r="A394" s="120"/>
      <c r="B394" s="120"/>
      <c r="C394" s="121"/>
      <c r="D394" s="120"/>
      <c r="E394" s="120"/>
    </row>
    <row r="395" spans="1:5">
      <c r="A395" s="120"/>
      <c r="B395" s="120"/>
      <c r="C395" s="121"/>
      <c r="D395" s="120"/>
      <c r="E395" s="120"/>
    </row>
    <row r="396" spans="1:5">
      <c r="A396" s="120"/>
      <c r="B396" s="120"/>
      <c r="C396" s="121"/>
      <c r="D396" s="120"/>
      <c r="E396" s="120"/>
    </row>
    <row r="397" spans="1:5">
      <c r="A397" s="120"/>
      <c r="B397" s="120"/>
      <c r="C397" s="121"/>
      <c r="D397" s="120"/>
      <c r="E397" s="120"/>
    </row>
    <row r="398" spans="1:5">
      <c r="A398" s="120"/>
      <c r="B398" s="120"/>
      <c r="C398" s="121"/>
      <c r="D398" s="120"/>
      <c r="E398" s="120"/>
    </row>
    <row r="399" spans="1:5">
      <c r="A399" s="120"/>
      <c r="B399" s="120"/>
      <c r="C399" s="121"/>
      <c r="D399" s="120"/>
      <c r="E399" s="120"/>
    </row>
    <row r="400" spans="1:5">
      <c r="A400" s="120"/>
      <c r="B400" s="120"/>
      <c r="C400" s="121"/>
      <c r="D400" s="120"/>
      <c r="E400" s="120"/>
    </row>
    <row r="401" spans="1:5">
      <c r="A401" s="120"/>
      <c r="B401" s="120"/>
      <c r="C401" s="121"/>
      <c r="D401" s="120"/>
      <c r="E401" s="120"/>
    </row>
    <row r="402" spans="1:5">
      <c r="A402" s="120"/>
      <c r="B402" s="120"/>
      <c r="C402" s="121"/>
      <c r="D402" s="120"/>
      <c r="E402" s="120"/>
    </row>
    <row r="403" spans="1:5">
      <c r="A403" s="120"/>
      <c r="B403" s="120"/>
      <c r="C403" s="121"/>
      <c r="D403" s="120"/>
      <c r="E403" s="120"/>
    </row>
    <row r="404" spans="1:5">
      <c r="A404" s="120"/>
      <c r="B404" s="120"/>
      <c r="C404" s="121"/>
      <c r="D404" s="120"/>
      <c r="E404" s="120"/>
    </row>
    <row r="405" spans="1:5">
      <c r="A405" s="120"/>
      <c r="B405" s="120"/>
      <c r="C405" s="121"/>
      <c r="D405" s="120"/>
      <c r="E405" s="120"/>
    </row>
    <row r="406" spans="1:5">
      <c r="A406" s="120"/>
      <c r="B406" s="120"/>
      <c r="C406" s="121"/>
      <c r="D406" s="120"/>
      <c r="E406" s="120"/>
    </row>
    <row r="407" spans="1:5">
      <c r="A407" s="120"/>
      <c r="B407" s="120"/>
      <c r="C407" s="121"/>
      <c r="D407" s="120"/>
      <c r="E407" s="120"/>
    </row>
    <row r="408" spans="1:5">
      <c r="A408" s="120"/>
      <c r="B408" s="120"/>
      <c r="C408" s="121"/>
      <c r="D408" s="120"/>
      <c r="E408" s="120"/>
    </row>
    <row r="409" spans="1:5">
      <c r="A409" s="120"/>
      <c r="B409" s="120"/>
      <c r="C409" s="121"/>
      <c r="D409" s="120"/>
      <c r="E409" s="120"/>
    </row>
    <row r="410" spans="1:5">
      <c r="A410" s="120"/>
      <c r="B410" s="120"/>
      <c r="C410" s="121"/>
      <c r="D410" s="120"/>
      <c r="E410" s="120"/>
    </row>
    <row r="411" spans="1:5">
      <c r="A411" s="120"/>
      <c r="B411" s="120"/>
      <c r="C411" s="121"/>
      <c r="D411" s="120"/>
      <c r="E411" s="120"/>
    </row>
    <row r="412" spans="1:5">
      <c r="A412" s="120"/>
      <c r="B412" s="120"/>
      <c r="C412" s="121"/>
      <c r="D412" s="120"/>
      <c r="E412" s="120"/>
    </row>
    <row r="413" spans="1:5">
      <c r="A413" s="120"/>
      <c r="B413" s="120"/>
      <c r="C413" s="121"/>
      <c r="D413" s="120"/>
      <c r="E413" s="120"/>
    </row>
    <row r="414" spans="1:5">
      <c r="A414" s="120"/>
      <c r="B414" s="120"/>
      <c r="C414" s="121"/>
      <c r="D414" s="120"/>
      <c r="E414" s="120"/>
    </row>
    <row r="415" spans="1:5">
      <c r="A415" s="120"/>
      <c r="B415" s="120"/>
      <c r="C415" s="121"/>
      <c r="D415" s="120"/>
      <c r="E415" s="120"/>
    </row>
    <row r="416" spans="1:5">
      <c r="A416" s="120"/>
      <c r="B416" s="120"/>
      <c r="C416" s="121"/>
      <c r="D416" s="120"/>
      <c r="E416" s="120"/>
    </row>
    <row r="417" spans="1:5">
      <c r="A417" s="120"/>
      <c r="B417" s="120"/>
      <c r="C417" s="121"/>
      <c r="D417" s="120"/>
      <c r="E417" s="120"/>
    </row>
    <row r="418" spans="1:5">
      <c r="A418" s="120"/>
      <c r="B418" s="120"/>
      <c r="C418" s="121"/>
      <c r="D418" s="120"/>
      <c r="E418" s="120"/>
    </row>
    <row r="419" spans="1:5">
      <c r="A419" s="120"/>
      <c r="B419" s="120"/>
      <c r="C419" s="121"/>
      <c r="D419" s="120"/>
      <c r="E419" s="120"/>
    </row>
    <row r="420" spans="1:5">
      <c r="A420" s="120"/>
      <c r="B420" s="120"/>
      <c r="C420" s="121"/>
      <c r="D420" s="120"/>
      <c r="E420" s="120"/>
    </row>
    <row r="421" spans="1:5">
      <c r="A421" s="120"/>
      <c r="B421" s="120"/>
      <c r="C421" s="121"/>
      <c r="D421" s="120"/>
      <c r="E421" s="120"/>
    </row>
    <row r="422" spans="1:5">
      <c r="A422" s="120"/>
      <c r="B422" s="120"/>
      <c r="C422" s="121"/>
      <c r="D422" s="120"/>
      <c r="E422" s="120"/>
    </row>
    <row r="423" spans="1:5">
      <c r="A423" s="120"/>
      <c r="B423" s="120"/>
      <c r="C423" s="121"/>
      <c r="D423" s="120"/>
      <c r="E423" s="120"/>
    </row>
    <row r="424" spans="1:5">
      <c r="A424" s="120"/>
      <c r="B424" s="120"/>
      <c r="C424" s="121"/>
      <c r="D424" s="120"/>
      <c r="E424" s="120"/>
    </row>
    <row r="425" spans="1:5">
      <c r="A425" s="120"/>
      <c r="B425" s="120"/>
      <c r="C425" s="121"/>
      <c r="D425" s="120"/>
      <c r="E425" s="120"/>
    </row>
    <row r="426" spans="1:5">
      <c r="A426" s="120"/>
      <c r="B426" s="120"/>
      <c r="C426" s="121"/>
      <c r="D426" s="120"/>
      <c r="E426" s="120"/>
    </row>
    <row r="427" spans="1:5">
      <c r="A427" s="120"/>
      <c r="B427" s="120"/>
      <c r="C427" s="121"/>
      <c r="D427" s="120"/>
      <c r="E427" s="120"/>
    </row>
    <row r="428" spans="1:5">
      <c r="A428" s="120"/>
      <c r="B428" s="120"/>
      <c r="C428" s="121"/>
      <c r="D428" s="120"/>
      <c r="E428" s="120"/>
    </row>
    <row r="429" spans="1:5">
      <c r="A429" s="120"/>
      <c r="B429" s="120"/>
      <c r="C429" s="121"/>
      <c r="D429" s="120"/>
      <c r="E429" s="120"/>
    </row>
    <row r="430" spans="1:5">
      <c r="A430" s="120"/>
      <c r="B430" s="120"/>
      <c r="C430" s="121"/>
      <c r="D430" s="120"/>
      <c r="E430" s="120"/>
    </row>
    <row r="431" spans="1:5">
      <c r="A431" s="120"/>
      <c r="B431" s="120"/>
      <c r="C431" s="121"/>
      <c r="D431" s="120"/>
      <c r="E431" s="120"/>
    </row>
    <row r="432" spans="1:5">
      <c r="A432" s="120"/>
      <c r="B432" s="120"/>
      <c r="C432" s="121"/>
      <c r="D432" s="120"/>
      <c r="E432" s="120"/>
    </row>
    <row r="433" spans="1:5">
      <c r="A433" s="120"/>
      <c r="B433" s="120"/>
      <c r="C433" s="121"/>
      <c r="D433" s="120"/>
      <c r="E433" s="120"/>
    </row>
    <row r="434" spans="1:5">
      <c r="A434" s="120"/>
      <c r="B434" s="120"/>
      <c r="C434" s="121"/>
      <c r="D434" s="120"/>
      <c r="E434" s="120"/>
    </row>
    <row r="435" spans="1:5">
      <c r="A435" s="120"/>
      <c r="B435" s="120"/>
      <c r="C435" s="121"/>
      <c r="D435" s="120"/>
      <c r="E435" s="120"/>
    </row>
    <row r="436" spans="1:5">
      <c r="A436" s="120"/>
      <c r="B436" s="120"/>
      <c r="C436" s="121"/>
      <c r="D436" s="120"/>
      <c r="E436" s="120"/>
    </row>
    <row r="437" spans="1:5">
      <c r="A437" s="120"/>
      <c r="B437" s="120"/>
      <c r="C437" s="121"/>
      <c r="D437" s="120"/>
      <c r="E437" s="120"/>
    </row>
    <row r="438" spans="1:5">
      <c r="A438" s="120"/>
      <c r="B438" s="120"/>
      <c r="C438" s="121"/>
      <c r="D438" s="120"/>
      <c r="E438" s="120"/>
    </row>
    <row r="439" spans="1:5">
      <c r="A439" s="120"/>
      <c r="B439" s="120"/>
      <c r="C439" s="121"/>
      <c r="D439" s="120"/>
      <c r="E439" s="120"/>
    </row>
    <row r="440" spans="1:5">
      <c r="A440" s="120"/>
      <c r="B440" s="120"/>
      <c r="C440" s="121"/>
      <c r="D440" s="120"/>
      <c r="E440" s="120"/>
    </row>
    <row r="441" spans="1:5">
      <c r="A441" s="120"/>
      <c r="B441" s="120"/>
      <c r="C441" s="121"/>
      <c r="D441" s="120"/>
      <c r="E441" s="120"/>
    </row>
    <row r="442" spans="1:5">
      <c r="A442" s="120"/>
      <c r="B442" s="120"/>
      <c r="C442" s="121"/>
      <c r="D442" s="120"/>
      <c r="E442" s="120"/>
    </row>
    <row r="443" spans="1:5">
      <c r="A443" s="120"/>
      <c r="B443" s="120"/>
      <c r="C443" s="121"/>
      <c r="D443" s="120"/>
      <c r="E443" s="120"/>
    </row>
    <row r="444" spans="1:5">
      <c r="A444" s="120"/>
      <c r="B444" s="120"/>
      <c r="C444" s="121"/>
      <c r="D444" s="120"/>
      <c r="E444" s="120"/>
    </row>
    <row r="445" spans="1:5">
      <c r="A445" s="120"/>
      <c r="B445" s="120"/>
      <c r="C445" s="121"/>
      <c r="D445" s="120"/>
      <c r="E445" s="120"/>
    </row>
    <row r="446" spans="1:5">
      <c r="A446" s="120"/>
      <c r="B446" s="120"/>
      <c r="C446" s="121"/>
      <c r="D446" s="120"/>
      <c r="E446" s="120"/>
    </row>
    <row r="447" spans="1:5">
      <c r="A447" s="120"/>
      <c r="B447" s="120"/>
      <c r="C447" s="121"/>
      <c r="D447" s="120"/>
      <c r="E447" s="120"/>
    </row>
    <row r="448" spans="1:5">
      <c r="A448" s="120"/>
      <c r="B448" s="120"/>
      <c r="C448" s="121"/>
      <c r="D448" s="120"/>
      <c r="E448" s="120"/>
    </row>
    <row r="449" spans="1:5">
      <c r="A449" s="120"/>
      <c r="B449" s="120"/>
      <c r="C449" s="121"/>
      <c r="D449" s="120"/>
      <c r="E449" s="120"/>
    </row>
    <row r="450" spans="1:5">
      <c r="A450" s="120"/>
      <c r="B450" s="120"/>
      <c r="C450" s="121"/>
      <c r="D450" s="120"/>
      <c r="E450" s="120"/>
    </row>
    <row r="451" spans="1:5">
      <c r="A451" s="120"/>
      <c r="B451" s="120"/>
      <c r="C451" s="121"/>
      <c r="D451" s="120"/>
      <c r="E451" s="120"/>
    </row>
    <row r="452" spans="1:5">
      <c r="A452" s="120"/>
      <c r="B452" s="120"/>
      <c r="C452" s="121"/>
      <c r="D452" s="120"/>
      <c r="E452" s="120"/>
    </row>
    <row r="453" spans="1:5">
      <c r="A453" s="120"/>
      <c r="B453" s="120"/>
      <c r="C453" s="121"/>
      <c r="D453" s="120"/>
      <c r="E453" s="120"/>
    </row>
    <row r="454" spans="1:5">
      <c r="A454" s="120"/>
      <c r="B454" s="120"/>
      <c r="C454" s="121"/>
      <c r="D454" s="120"/>
      <c r="E454" s="120"/>
    </row>
    <row r="455" spans="1:5">
      <c r="A455" s="120"/>
      <c r="B455" s="120"/>
      <c r="C455" s="121"/>
      <c r="D455" s="120"/>
      <c r="E455" s="120"/>
    </row>
    <row r="456" spans="1:5">
      <c r="A456" s="120"/>
      <c r="B456" s="120"/>
      <c r="C456" s="121"/>
      <c r="D456" s="120"/>
      <c r="E456" s="120"/>
    </row>
    <row r="457" spans="1:5">
      <c r="A457" s="120"/>
      <c r="B457" s="120"/>
      <c r="C457" s="121"/>
      <c r="D457" s="120"/>
      <c r="E457" s="120"/>
    </row>
    <row r="458" spans="1:5">
      <c r="A458" s="120"/>
      <c r="B458" s="120"/>
      <c r="C458" s="121"/>
      <c r="D458" s="120"/>
      <c r="E458" s="120"/>
    </row>
    <row r="459" spans="1:5">
      <c r="A459" s="120"/>
      <c r="B459" s="120"/>
      <c r="C459" s="121"/>
      <c r="D459" s="120"/>
      <c r="E459" s="120"/>
    </row>
    <row r="460" spans="1:5">
      <c r="A460" s="120"/>
      <c r="B460" s="120"/>
      <c r="C460" s="121"/>
      <c r="D460" s="120"/>
      <c r="E460" s="120"/>
    </row>
    <row r="461" spans="1:5">
      <c r="A461" s="120"/>
      <c r="B461" s="120"/>
      <c r="C461" s="121"/>
      <c r="D461" s="120"/>
      <c r="E461" s="120"/>
    </row>
    <row r="462" spans="1:5">
      <c r="A462" s="120"/>
      <c r="B462" s="120"/>
      <c r="C462" s="121"/>
      <c r="D462" s="120"/>
      <c r="E462" s="120"/>
    </row>
    <row r="463" spans="1:5">
      <c r="A463" s="120"/>
      <c r="B463" s="120"/>
      <c r="C463" s="121"/>
      <c r="D463" s="120"/>
      <c r="E463" s="120"/>
    </row>
    <row r="464" spans="1:5">
      <c r="A464" s="120"/>
      <c r="B464" s="120"/>
      <c r="C464" s="121"/>
      <c r="D464" s="120"/>
      <c r="E464" s="120"/>
    </row>
    <row r="465" spans="1:5">
      <c r="A465" s="120"/>
      <c r="B465" s="120"/>
      <c r="C465" s="121"/>
      <c r="D465" s="120"/>
      <c r="E465" s="120"/>
    </row>
    <row r="466" spans="1:5">
      <c r="A466" s="120"/>
      <c r="B466" s="120"/>
      <c r="C466" s="121"/>
      <c r="D466" s="120"/>
      <c r="E466" s="120"/>
    </row>
    <row r="467" spans="1:5">
      <c r="A467" s="120"/>
      <c r="B467" s="120"/>
      <c r="C467" s="121"/>
      <c r="D467" s="120"/>
      <c r="E467" s="120"/>
    </row>
    <row r="468" spans="1:5">
      <c r="A468" s="120"/>
      <c r="B468" s="120"/>
      <c r="C468" s="121"/>
      <c r="D468" s="120"/>
      <c r="E468" s="120"/>
    </row>
    <row r="469" spans="1:5">
      <c r="A469" s="120"/>
      <c r="B469" s="120"/>
      <c r="C469" s="121"/>
      <c r="D469" s="120"/>
      <c r="E469" s="120"/>
    </row>
    <row r="470" spans="1:5">
      <c r="A470" s="120"/>
      <c r="B470" s="120"/>
      <c r="C470" s="121"/>
      <c r="D470" s="120"/>
      <c r="E470" s="120"/>
    </row>
    <row r="471" spans="1:5">
      <c r="A471" s="120"/>
      <c r="B471" s="120"/>
      <c r="C471" s="121"/>
      <c r="D471" s="120"/>
      <c r="E471" s="120"/>
    </row>
    <row r="472" spans="1:5">
      <c r="A472" s="120"/>
      <c r="B472" s="120"/>
      <c r="C472" s="121"/>
      <c r="D472" s="120"/>
      <c r="E472" s="120"/>
    </row>
    <row r="473" spans="1:5">
      <c r="A473" s="120"/>
      <c r="B473" s="120"/>
      <c r="C473" s="121"/>
      <c r="D473" s="120"/>
      <c r="E473" s="120"/>
    </row>
    <row r="474" spans="1:5">
      <c r="A474" s="120"/>
      <c r="B474" s="120"/>
      <c r="C474" s="121"/>
      <c r="D474" s="120"/>
      <c r="E474" s="120"/>
    </row>
    <row r="475" spans="1:5">
      <c r="A475" s="120"/>
      <c r="B475" s="120"/>
      <c r="C475" s="121"/>
      <c r="D475" s="120"/>
      <c r="E475" s="120"/>
    </row>
    <row r="476" spans="1:5">
      <c r="A476" s="120"/>
      <c r="B476" s="120"/>
      <c r="C476" s="121"/>
      <c r="D476" s="120"/>
      <c r="E476" s="120"/>
    </row>
    <row r="477" spans="1:5">
      <c r="A477" s="120"/>
      <c r="B477" s="120"/>
      <c r="C477" s="121"/>
      <c r="D477" s="120"/>
      <c r="E477" s="120"/>
    </row>
    <row r="478" spans="1:5">
      <c r="A478" s="120"/>
      <c r="B478" s="120"/>
      <c r="C478" s="121"/>
      <c r="D478" s="120"/>
      <c r="E478" s="120"/>
    </row>
    <row r="479" spans="1:5">
      <c r="A479" s="120"/>
      <c r="B479" s="120"/>
      <c r="C479" s="121"/>
      <c r="D479" s="120"/>
      <c r="E479" s="120"/>
    </row>
    <row r="480" spans="1:5">
      <c r="A480" s="120"/>
      <c r="B480" s="120"/>
      <c r="C480" s="121"/>
      <c r="D480" s="120"/>
      <c r="E480" s="120"/>
    </row>
    <row r="481" spans="1:5">
      <c r="A481" s="120"/>
      <c r="B481" s="120"/>
      <c r="C481" s="121"/>
      <c r="D481" s="120"/>
      <c r="E481" s="120"/>
    </row>
    <row r="482" spans="1:5">
      <c r="A482" s="120"/>
      <c r="B482" s="120"/>
      <c r="C482" s="121"/>
      <c r="D482" s="120"/>
      <c r="E482" s="120"/>
    </row>
    <row r="483" spans="1:5">
      <c r="A483" s="120"/>
      <c r="B483" s="120"/>
      <c r="C483" s="121"/>
      <c r="D483" s="120"/>
      <c r="E483" s="120"/>
    </row>
    <row r="484" spans="1:5">
      <c r="A484" s="120"/>
      <c r="B484" s="120"/>
      <c r="C484" s="121"/>
      <c r="D484" s="120"/>
      <c r="E484" s="120"/>
    </row>
    <row r="485" spans="1:5">
      <c r="A485" s="120"/>
      <c r="B485" s="120"/>
      <c r="C485" s="121"/>
      <c r="D485" s="120"/>
      <c r="E485" s="120"/>
    </row>
    <row r="486" spans="1:5">
      <c r="A486" s="120"/>
      <c r="B486" s="120"/>
      <c r="C486" s="121"/>
      <c r="D486" s="120"/>
      <c r="E486" s="120"/>
    </row>
    <row r="487" spans="1:5">
      <c r="A487" s="120"/>
      <c r="B487" s="120"/>
      <c r="C487" s="121"/>
      <c r="D487" s="120"/>
      <c r="E487" s="120"/>
    </row>
    <row r="488" spans="1:5">
      <c r="A488" s="120"/>
      <c r="B488" s="120"/>
      <c r="C488" s="121"/>
      <c r="D488" s="120"/>
      <c r="E488" s="120"/>
    </row>
    <row r="489" spans="1:5">
      <c r="A489" s="120"/>
      <c r="B489" s="120"/>
      <c r="C489" s="121"/>
      <c r="D489" s="120"/>
      <c r="E489" s="120"/>
    </row>
    <row r="490" spans="1:5">
      <c r="A490" s="120"/>
      <c r="B490" s="120"/>
      <c r="C490" s="121"/>
      <c r="D490" s="120"/>
      <c r="E490" s="120"/>
    </row>
    <row r="491" spans="1:5">
      <c r="A491" s="120"/>
      <c r="B491" s="120"/>
      <c r="C491" s="121"/>
      <c r="D491" s="120"/>
      <c r="E491" s="120"/>
    </row>
    <row r="492" spans="1:5">
      <c r="A492" s="120"/>
      <c r="B492" s="120"/>
      <c r="C492" s="121"/>
      <c r="D492" s="120"/>
      <c r="E492" s="120"/>
    </row>
    <row r="493" spans="1:5">
      <c r="A493" s="120"/>
      <c r="B493" s="120"/>
      <c r="C493" s="121"/>
      <c r="D493" s="120"/>
      <c r="E493" s="120"/>
    </row>
    <row r="494" spans="1:5">
      <c r="A494" s="120"/>
      <c r="B494" s="120"/>
      <c r="C494" s="121"/>
      <c r="D494" s="120"/>
      <c r="E494" s="120"/>
    </row>
    <row r="495" spans="1:5">
      <c r="A495" s="120"/>
      <c r="B495" s="120"/>
      <c r="C495" s="121"/>
      <c r="D495" s="120"/>
      <c r="E495" s="120"/>
    </row>
    <row r="496" spans="1:5">
      <c r="A496" s="120"/>
      <c r="B496" s="120"/>
      <c r="C496" s="121"/>
      <c r="D496" s="120"/>
      <c r="E496" s="120"/>
    </row>
    <row r="497" spans="1:5">
      <c r="A497" s="120"/>
      <c r="B497" s="120"/>
      <c r="C497" s="121"/>
      <c r="D497" s="120"/>
      <c r="E497" s="120"/>
    </row>
    <row r="498" spans="1:5">
      <c r="A498" s="120"/>
      <c r="B498" s="120"/>
      <c r="C498" s="121"/>
      <c r="D498" s="120"/>
      <c r="E498" s="120"/>
    </row>
    <row r="499" spans="1:5">
      <c r="A499" s="120"/>
      <c r="B499" s="120"/>
      <c r="C499" s="121"/>
      <c r="D499" s="120"/>
      <c r="E499" s="120"/>
    </row>
    <row r="500" spans="1:5">
      <c r="A500" s="120"/>
      <c r="B500" s="120"/>
      <c r="C500" s="121"/>
      <c r="D500" s="120"/>
      <c r="E500" s="120"/>
    </row>
    <row r="501" spans="1:5">
      <c r="A501" s="120"/>
      <c r="B501" s="120"/>
      <c r="C501" s="121"/>
      <c r="D501" s="120"/>
      <c r="E501" s="120"/>
    </row>
    <row r="502" spans="1:5">
      <c r="A502" s="120"/>
      <c r="B502" s="120"/>
      <c r="C502" s="121"/>
      <c r="D502" s="120"/>
      <c r="E502" s="120"/>
    </row>
    <row r="503" spans="1:5">
      <c r="A503" s="120"/>
      <c r="B503" s="120"/>
      <c r="C503" s="121"/>
      <c r="D503" s="120"/>
      <c r="E503" s="120"/>
    </row>
    <row r="504" spans="1:5">
      <c r="A504" s="120"/>
      <c r="B504" s="120"/>
      <c r="C504" s="121"/>
      <c r="D504" s="120"/>
      <c r="E504" s="120"/>
    </row>
    <row r="505" spans="1:5">
      <c r="A505" s="120"/>
      <c r="B505" s="120"/>
      <c r="C505" s="121"/>
      <c r="D505" s="120"/>
      <c r="E505" s="120"/>
    </row>
    <row r="506" spans="1:5">
      <c r="A506" s="120"/>
      <c r="B506" s="120"/>
      <c r="C506" s="121"/>
      <c r="D506" s="120"/>
      <c r="E506" s="120"/>
    </row>
    <row r="507" spans="1:5">
      <c r="A507" s="120"/>
      <c r="B507" s="120"/>
      <c r="C507" s="121"/>
      <c r="D507" s="120"/>
      <c r="E507" s="120"/>
    </row>
    <row r="508" spans="1:5">
      <c r="A508" s="120"/>
      <c r="B508" s="120"/>
      <c r="C508" s="121"/>
      <c r="D508" s="120"/>
      <c r="E508" s="120"/>
    </row>
    <row r="509" spans="1:5">
      <c r="A509" s="120"/>
      <c r="B509" s="120"/>
      <c r="C509" s="121"/>
      <c r="D509" s="120"/>
      <c r="E509" s="120"/>
    </row>
    <row r="510" spans="1:5">
      <c r="A510" s="120"/>
      <c r="B510" s="120"/>
      <c r="C510" s="121"/>
      <c r="D510" s="120"/>
      <c r="E510" s="120"/>
    </row>
    <row r="511" spans="1:5">
      <c r="A511" s="120"/>
      <c r="B511" s="120"/>
      <c r="C511" s="121"/>
      <c r="D511" s="120"/>
      <c r="E511" s="120"/>
    </row>
    <row r="512" spans="1:5">
      <c r="A512" s="120"/>
      <c r="B512" s="120"/>
      <c r="C512" s="121"/>
      <c r="D512" s="120"/>
      <c r="E512" s="120"/>
    </row>
    <row r="513" spans="1:5">
      <c r="A513" s="120"/>
      <c r="B513" s="120"/>
      <c r="C513" s="121"/>
      <c r="D513" s="120"/>
      <c r="E513" s="120"/>
    </row>
    <row r="514" spans="1:5">
      <c r="A514" s="120"/>
      <c r="B514" s="120"/>
      <c r="C514" s="121"/>
      <c r="D514" s="120"/>
      <c r="E514" s="120"/>
    </row>
    <row r="515" spans="1:5">
      <c r="A515" s="120"/>
      <c r="B515" s="120"/>
      <c r="C515" s="121"/>
      <c r="D515" s="120"/>
      <c r="E515" s="120"/>
    </row>
    <row r="516" spans="1:5">
      <c r="A516" s="120"/>
      <c r="B516" s="120"/>
      <c r="C516" s="121"/>
      <c r="D516" s="120"/>
      <c r="E516" s="120"/>
    </row>
    <row r="517" spans="1:5">
      <c r="A517" s="120"/>
      <c r="B517" s="120"/>
      <c r="C517" s="121"/>
      <c r="D517" s="120"/>
      <c r="E517" s="120"/>
    </row>
    <row r="518" spans="1:5">
      <c r="A518" s="120"/>
      <c r="B518" s="120"/>
      <c r="C518" s="121"/>
      <c r="D518" s="120"/>
      <c r="E518" s="120"/>
    </row>
    <row r="519" spans="1:5">
      <c r="A519" s="120"/>
      <c r="B519" s="120"/>
      <c r="C519" s="121"/>
      <c r="D519" s="120"/>
      <c r="E519" s="120"/>
    </row>
    <row r="520" spans="1:5">
      <c r="A520" s="120"/>
      <c r="B520" s="120"/>
      <c r="C520" s="121"/>
      <c r="D520" s="120"/>
      <c r="E520" s="120"/>
    </row>
    <row r="521" spans="1:5">
      <c r="A521" s="120"/>
      <c r="B521" s="120"/>
      <c r="C521" s="121"/>
      <c r="D521" s="120"/>
      <c r="E521" s="120"/>
    </row>
    <row r="522" spans="1:5">
      <c r="A522" s="120"/>
      <c r="B522" s="120"/>
      <c r="C522" s="121"/>
      <c r="D522" s="120"/>
      <c r="E522" s="120"/>
    </row>
    <row r="523" spans="1:5">
      <c r="A523" s="120"/>
      <c r="B523" s="120"/>
      <c r="C523" s="121"/>
      <c r="D523" s="120"/>
      <c r="E523" s="120"/>
    </row>
    <row r="524" spans="1:5">
      <c r="A524" s="120"/>
      <c r="B524" s="120"/>
      <c r="C524" s="121"/>
      <c r="D524" s="120"/>
      <c r="E524" s="120"/>
    </row>
    <row r="525" spans="1:5">
      <c r="A525" s="120"/>
      <c r="B525" s="120"/>
      <c r="C525" s="121"/>
      <c r="D525" s="120"/>
      <c r="E525" s="120"/>
    </row>
    <row r="526" spans="1:5">
      <c r="A526" s="120"/>
      <c r="B526" s="120"/>
      <c r="C526" s="121"/>
      <c r="D526" s="120"/>
      <c r="E526" s="120"/>
    </row>
    <row r="527" spans="1:5">
      <c r="A527" s="120"/>
      <c r="B527" s="120"/>
      <c r="C527" s="121"/>
      <c r="D527" s="120"/>
      <c r="E527" s="120"/>
    </row>
    <row r="528" spans="1:5">
      <c r="A528" s="120"/>
      <c r="B528" s="120"/>
      <c r="C528" s="121"/>
      <c r="D528" s="120"/>
      <c r="E528" s="120"/>
    </row>
    <row r="529" spans="1:5">
      <c r="A529" s="120"/>
      <c r="B529" s="120"/>
      <c r="C529" s="121"/>
      <c r="D529" s="120"/>
      <c r="E529" s="120"/>
    </row>
    <row r="530" spans="1:5">
      <c r="A530" s="120"/>
      <c r="B530" s="120"/>
      <c r="C530" s="121"/>
      <c r="D530" s="120"/>
      <c r="E530" s="120"/>
    </row>
    <row r="531" spans="1:5">
      <c r="A531" s="120"/>
      <c r="B531" s="120"/>
      <c r="C531" s="121"/>
      <c r="D531" s="120"/>
      <c r="E531" s="120"/>
    </row>
    <row r="532" spans="1:5">
      <c r="A532" s="120"/>
      <c r="B532" s="120"/>
      <c r="C532" s="121"/>
      <c r="D532" s="120"/>
      <c r="E532" s="120"/>
    </row>
    <row r="533" spans="1:5">
      <c r="A533" s="120"/>
      <c r="B533" s="120"/>
      <c r="C533" s="121"/>
      <c r="D533" s="120"/>
      <c r="E533" s="120"/>
    </row>
    <row r="534" spans="1:5">
      <c r="A534" s="120"/>
      <c r="B534" s="120"/>
      <c r="C534" s="121"/>
      <c r="D534" s="120"/>
      <c r="E534" s="120"/>
    </row>
    <row r="535" spans="1:5">
      <c r="A535" s="120"/>
      <c r="B535" s="120"/>
      <c r="C535" s="121"/>
      <c r="D535" s="120"/>
      <c r="E535" s="120"/>
    </row>
    <row r="536" spans="1:5">
      <c r="A536" s="120"/>
      <c r="B536" s="120"/>
      <c r="C536" s="121"/>
      <c r="D536" s="120"/>
      <c r="E536" s="120"/>
    </row>
    <row r="537" spans="1:5">
      <c r="A537" s="120"/>
      <c r="B537" s="120"/>
      <c r="C537" s="121"/>
      <c r="D537" s="120"/>
      <c r="E537" s="120"/>
    </row>
    <row r="538" spans="1:5">
      <c r="A538" s="120"/>
      <c r="B538" s="120"/>
      <c r="C538" s="121"/>
      <c r="D538" s="120"/>
      <c r="E538" s="120"/>
    </row>
    <row r="539" spans="1:5">
      <c r="A539" s="120"/>
      <c r="B539" s="120"/>
      <c r="C539" s="121"/>
      <c r="D539" s="120"/>
      <c r="E539" s="120"/>
    </row>
    <row r="540" spans="1:5">
      <c r="A540" s="120"/>
      <c r="B540" s="120"/>
      <c r="C540" s="121"/>
      <c r="D540" s="120"/>
      <c r="E540" s="120"/>
    </row>
    <row r="541" spans="1:5">
      <c r="A541" s="120"/>
      <c r="B541" s="120"/>
      <c r="C541" s="121"/>
      <c r="D541" s="120"/>
      <c r="E541" s="120"/>
    </row>
    <row r="542" spans="1:5">
      <c r="A542" s="120"/>
      <c r="B542" s="120"/>
      <c r="C542" s="121"/>
      <c r="D542" s="120"/>
      <c r="E542" s="120"/>
    </row>
    <row r="543" spans="1:5">
      <c r="A543" s="120"/>
      <c r="B543" s="120"/>
      <c r="C543" s="121"/>
      <c r="D543" s="120"/>
      <c r="E543" s="120"/>
    </row>
    <row r="544" spans="1:5">
      <c r="A544" s="120"/>
      <c r="B544" s="120"/>
      <c r="C544" s="121"/>
      <c r="D544" s="120"/>
      <c r="E544" s="120"/>
    </row>
    <row r="545" spans="1:5">
      <c r="A545" s="120"/>
      <c r="B545" s="120"/>
      <c r="C545" s="121"/>
      <c r="D545" s="120"/>
      <c r="E545" s="120"/>
    </row>
    <row r="546" spans="1:5">
      <c r="A546" s="120"/>
      <c r="B546" s="120"/>
      <c r="C546" s="121"/>
      <c r="D546" s="120"/>
      <c r="E546" s="120"/>
    </row>
    <row r="547" spans="1:5">
      <c r="A547" s="120"/>
      <c r="B547" s="120"/>
      <c r="C547" s="121"/>
      <c r="D547" s="120"/>
      <c r="E547" s="120"/>
    </row>
    <row r="548" spans="1:5">
      <c r="A548" s="120"/>
      <c r="B548" s="120"/>
      <c r="C548" s="121"/>
      <c r="D548" s="120"/>
      <c r="E548" s="120"/>
    </row>
    <row r="549" spans="1:5">
      <c r="A549" s="120"/>
      <c r="B549" s="120"/>
      <c r="C549" s="121"/>
      <c r="D549" s="120"/>
      <c r="E549" s="120"/>
    </row>
    <row r="550" spans="1:5">
      <c r="A550" s="120"/>
      <c r="B550" s="120"/>
      <c r="C550" s="121"/>
      <c r="D550" s="120"/>
      <c r="E550" s="120"/>
    </row>
    <row r="551" spans="1:5">
      <c r="A551" s="120"/>
      <c r="B551" s="120"/>
      <c r="C551" s="121"/>
      <c r="D551" s="120"/>
      <c r="E551" s="120"/>
    </row>
    <row r="552" spans="1:5">
      <c r="A552" s="120"/>
      <c r="B552" s="120"/>
      <c r="C552" s="121"/>
      <c r="D552" s="120"/>
      <c r="E552" s="120"/>
    </row>
    <row r="553" spans="1:5">
      <c r="A553" s="120"/>
      <c r="B553" s="120"/>
      <c r="C553" s="121"/>
      <c r="D553" s="120"/>
      <c r="E553" s="120"/>
    </row>
    <row r="554" spans="1:5">
      <c r="A554" s="120"/>
      <c r="B554" s="120"/>
      <c r="C554" s="121"/>
      <c r="D554" s="120"/>
      <c r="E554" s="120"/>
    </row>
    <row r="555" spans="1:5">
      <c r="A555" s="120"/>
      <c r="B555" s="120"/>
      <c r="C555" s="121"/>
      <c r="D555" s="120"/>
      <c r="E555" s="120"/>
    </row>
    <row r="556" spans="1:5">
      <c r="A556" s="120"/>
      <c r="B556" s="120"/>
      <c r="C556" s="121"/>
      <c r="D556" s="120"/>
      <c r="E556" s="120"/>
    </row>
    <row r="557" spans="1:5">
      <c r="A557" s="120"/>
      <c r="B557" s="120"/>
      <c r="C557" s="121"/>
      <c r="D557" s="120"/>
      <c r="E557" s="120"/>
    </row>
    <row r="558" spans="1:5">
      <c r="A558" s="120"/>
      <c r="B558" s="120"/>
      <c r="C558" s="121"/>
      <c r="D558" s="120"/>
      <c r="E558" s="120"/>
    </row>
    <row r="559" spans="1:5">
      <c r="A559" s="120"/>
      <c r="B559" s="120"/>
      <c r="C559" s="121"/>
      <c r="D559" s="120"/>
      <c r="E559" s="120"/>
    </row>
    <row r="560" spans="1:5">
      <c r="A560" s="120"/>
      <c r="B560" s="120"/>
      <c r="C560" s="121"/>
      <c r="D560" s="120"/>
      <c r="E560" s="120"/>
    </row>
    <row r="561" spans="1:5">
      <c r="A561" s="120"/>
      <c r="B561" s="120"/>
      <c r="C561" s="121"/>
      <c r="D561" s="120"/>
      <c r="E561" s="120"/>
    </row>
    <row r="562" spans="1:5">
      <c r="A562" s="120"/>
      <c r="B562" s="120"/>
      <c r="C562" s="121"/>
      <c r="D562" s="120"/>
      <c r="E562" s="120"/>
    </row>
    <row r="563" spans="1:5">
      <c r="A563" s="120"/>
      <c r="B563" s="120"/>
      <c r="C563" s="121"/>
      <c r="D563" s="120"/>
      <c r="E563" s="120"/>
    </row>
    <row r="564" spans="1:5">
      <c r="A564" s="120"/>
      <c r="B564" s="120"/>
      <c r="C564" s="121"/>
      <c r="D564" s="120"/>
      <c r="E564" s="120"/>
    </row>
    <row r="565" spans="1:5">
      <c r="A565" s="120"/>
      <c r="B565" s="120"/>
      <c r="C565" s="121"/>
      <c r="D565" s="120"/>
      <c r="E565" s="120"/>
    </row>
    <row r="566" spans="1:5">
      <c r="A566" s="120"/>
      <c r="B566" s="120"/>
      <c r="C566" s="121"/>
      <c r="D566" s="120"/>
      <c r="E566" s="120"/>
    </row>
    <row r="567" spans="1:5">
      <c r="A567" s="120"/>
      <c r="B567" s="120"/>
      <c r="C567" s="121"/>
      <c r="D567" s="120"/>
      <c r="E567" s="120"/>
    </row>
    <row r="568" spans="1:5">
      <c r="A568" s="120"/>
      <c r="B568" s="120"/>
      <c r="C568" s="121"/>
      <c r="D568" s="120"/>
      <c r="E568" s="120"/>
    </row>
    <row r="569" spans="1:5">
      <c r="A569" s="120"/>
      <c r="B569" s="120"/>
      <c r="C569" s="121"/>
      <c r="D569" s="120"/>
      <c r="E569" s="120"/>
    </row>
    <row r="570" spans="1:5">
      <c r="A570" s="120"/>
      <c r="B570" s="120"/>
      <c r="C570" s="121"/>
      <c r="D570" s="120"/>
      <c r="E570" s="120"/>
    </row>
    <row r="571" spans="1:5">
      <c r="A571" s="120"/>
      <c r="B571" s="120"/>
      <c r="C571" s="121"/>
      <c r="D571" s="120"/>
      <c r="E571" s="120"/>
    </row>
    <row r="572" spans="1:5">
      <c r="A572" s="120"/>
      <c r="B572" s="120"/>
      <c r="C572" s="121"/>
      <c r="D572" s="120"/>
      <c r="E572" s="120"/>
    </row>
    <row r="573" spans="1:5">
      <c r="A573" s="120"/>
      <c r="B573" s="120"/>
      <c r="C573" s="121"/>
      <c r="D573" s="120"/>
      <c r="E573" s="120"/>
    </row>
    <row r="574" spans="1:5">
      <c r="A574" s="120"/>
      <c r="B574" s="120"/>
      <c r="C574" s="121"/>
      <c r="D574" s="120"/>
      <c r="E574" s="120"/>
    </row>
    <row r="575" spans="1:5">
      <c r="A575" s="120"/>
      <c r="B575" s="120"/>
      <c r="C575" s="121"/>
      <c r="D575" s="120"/>
      <c r="E575" s="120"/>
    </row>
    <row r="576" spans="1:5">
      <c r="A576" s="120"/>
      <c r="B576" s="120"/>
      <c r="C576" s="121"/>
      <c r="D576" s="120"/>
      <c r="E576" s="120"/>
    </row>
    <row r="577" spans="1:5">
      <c r="A577" s="120"/>
      <c r="B577" s="120"/>
      <c r="C577" s="121"/>
      <c r="D577" s="120"/>
      <c r="E577" s="120"/>
    </row>
    <row r="578" spans="1:5">
      <c r="A578" s="120"/>
      <c r="B578" s="120"/>
      <c r="C578" s="121"/>
      <c r="D578" s="120"/>
      <c r="E578" s="120"/>
    </row>
    <row r="579" spans="1:5">
      <c r="A579" s="120"/>
      <c r="B579" s="120"/>
      <c r="C579" s="121"/>
      <c r="D579" s="120"/>
      <c r="E579" s="120"/>
    </row>
    <row r="580" spans="1:5">
      <c r="A580" s="120"/>
      <c r="B580" s="120"/>
      <c r="C580" s="121"/>
      <c r="D580" s="120"/>
      <c r="E580" s="120"/>
    </row>
    <row r="581" spans="1:5">
      <c r="A581" s="120"/>
      <c r="B581" s="120"/>
      <c r="C581" s="121"/>
      <c r="D581" s="120"/>
      <c r="E581" s="120"/>
    </row>
    <row r="582" spans="1:5">
      <c r="A582" s="120"/>
      <c r="B582" s="120"/>
      <c r="C582" s="121"/>
      <c r="D582" s="120"/>
      <c r="E582" s="120"/>
    </row>
    <row r="583" spans="1:5">
      <c r="A583" s="120"/>
      <c r="B583" s="120"/>
      <c r="C583" s="121"/>
      <c r="D583" s="120"/>
      <c r="E583" s="120"/>
    </row>
    <row r="584" spans="1:5">
      <c r="A584" s="120"/>
      <c r="B584" s="120"/>
      <c r="C584" s="121"/>
      <c r="D584" s="120"/>
      <c r="E584" s="120"/>
    </row>
    <row r="585" spans="1:5">
      <c r="A585" s="120"/>
      <c r="B585" s="120"/>
      <c r="C585" s="121"/>
      <c r="D585" s="120"/>
      <c r="E585" s="120"/>
    </row>
    <row r="586" spans="1:5">
      <c r="A586" s="120"/>
      <c r="B586" s="120"/>
      <c r="C586" s="121"/>
      <c r="D586" s="120"/>
      <c r="E586" s="120"/>
    </row>
    <row r="587" spans="1:5">
      <c r="A587" s="120"/>
      <c r="B587" s="120"/>
      <c r="C587" s="121"/>
      <c r="D587" s="120"/>
      <c r="E587" s="120"/>
    </row>
    <row r="588" spans="1:5">
      <c r="A588" s="120"/>
      <c r="B588" s="120"/>
      <c r="C588" s="121"/>
      <c r="D588" s="120"/>
      <c r="E588" s="120"/>
    </row>
    <row r="589" spans="1:5">
      <c r="A589" s="120"/>
      <c r="B589" s="120"/>
      <c r="C589" s="121"/>
      <c r="D589" s="120"/>
      <c r="E589" s="120"/>
    </row>
    <row r="590" spans="1:5">
      <c r="A590" s="120"/>
      <c r="B590" s="120"/>
      <c r="C590" s="121"/>
      <c r="D590" s="120"/>
      <c r="E590" s="120"/>
    </row>
    <row r="591" spans="1:5">
      <c r="A591" s="120"/>
      <c r="B591" s="120"/>
      <c r="C591" s="121"/>
      <c r="D591" s="120"/>
      <c r="E591" s="120"/>
    </row>
    <row r="592" spans="1:5">
      <c r="A592" s="120"/>
      <c r="B592" s="120"/>
      <c r="C592" s="121"/>
      <c r="D592" s="120"/>
      <c r="E592" s="120"/>
    </row>
    <row r="593" spans="1:5">
      <c r="A593" s="120"/>
      <c r="B593" s="120"/>
      <c r="C593" s="121"/>
      <c r="D593" s="120"/>
      <c r="E593" s="120"/>
    </row>
    <row r="594" spans="1:5">
      <c r="A594" s="120"/>
      <c r="B594" s="120"/>
      <c r="C594" s="121"/>
      <c r="D594" s="120"/>
      <c r="E594" s="120"/>
    </row>
    <row r="595" spans="1:5">
      <c r="A595" s="120"/>
      <c r="B595" s="120"/>
      <c r="C595" s="121"/>
      <c r="D595" s="120"/>
      <c r="E595" s="120"/>
    </row>
    <row r="596" spans="1:5">
      <c r="A596" s="120"/>
      <c r="B596" s="120"/>
      <c r="C596" s="121"/>
      <c r="D596" s="120"/>
      <c r="E596" s="120"/>
    </row>
    <row r="597" spans="1:5">
      <c r="A597" s="120"/>
      <c r="B597" s="120"/>
      <c r="C597" s="121"/>
      <c r="D597" s="120"/>
      <c r="E597" s="120"/>
    </row>
    <row r="598" spans="1:5">
      <c r="A598" s="120"/>
      <c r="B598" s="120"/>
      <c r="C598" s="121"/>
      <c r="D598" s="120"/>
      <c r="E598" s="120"/>
    </row>
    <row r="599" spans="1:5">
      <c r="A599" s="120"/>
      <c r="B599" s="120"/>
      <c r="C599" s="121"/>
      <c r="D599" s="120"/>
      <c r="E599" s="120"/>
    </row>
    <row r="600" spans="1:5">
      <c r="A600" s="120"/>
      <c r="B600" s="120"/>
      <c r="C600" s="121"/>
      <c r="D600" s="120"/>
      <c r="E600" s="120"/>
    </row>
    <row r="601" spans="1:5">
      <c r="A601" s="120"/>
      <c r="B601" s="120"/>
      <c r="C601" s="121"/>
      <c r="D601" s="120"/>
      <c r="E601" s="120"/>
    </row>
    <row r="602" spans="1:5">
      <c r="A602" s="120"/>
      <c r="B602" s="120"/>
      <c r="C602" s="121"/>
      <c r="D602" s="120"/>
      <c r="E602" s="120"/>
    </row>
    <row r="603" spans="1:5">
      <c r="A603" s="120"/>
      <c r="B603" s="120"/>
      <c r="C603" s="121"/>
      <c r="D603" s="120"/>
      <c r="E603" s="120"/>
    </row>
    <row r="604" spans="1:5">
      <c r="A604" s="120"/>
      <c r="B604" s="120"/>
      <c r="C604" s="121"/>
      <c r="D604" s="120"/>
      <c r="E604" s="120"/>
    </row>
    <row r="605" spans="1:5">
      <c r="A605" s="120"/>
      <c r="B605" s="120"/>
      <c r="C605" s="121"/>
      <c r="D605" s="120"/>
      <c r="E605" s="120"/>
    </row>
    <row r="606" spans="1:5">
      <c r="A606" s="120"/>
      <c r="B606" s="120"/>
      <c r="C606" s="121"/>
      <c r="D606" s="120"/>
      <c r="E606" s="120"/>
    </row>
    <row r="607" spans="1:5">
      <c r="A607" s="120"/>
      <c r="B607" s="120"/>
      <c r="C607" s="121"/>
      <c r="D607" s="120"/>
      <c r="E607" s="120"/>
    </row>
    <row r="608" spans="1:5">
      <c r="A608" s="120"/>
      <c r="B608" s="120"/>
      <c r="C608" s="121"/>
      <c r="D608" s="120"/>
      <c r="E608" s="120"/>
    </row>
    <row r="609" spans="1:5">
      <c r="A609" s="120"/>
      <c r="B609" s="120"/>
      <c r="C609" s="121"/>
      <c r="D609" s="120"/>
      <c r="E609" s="120"/>
    </row>
    <row r="610" spans="1:5">
      <c r="A610" s="120"/>
      <c r="B610" s="120"/>
      <c r="C610" s="121"/>
      <c r="D610" s="120"/>
      <c r="E610" s="120"/>
    </row>
    <row r="611" spans="1:5">
      <c r="A611" s="120"/>
      <c r="B611" s="120"/>
      <c r="C611" s="121"/>
      <c r="D611" s="120"/>
      <c r="E611" s="120"/>
    </row>
    <row r="612" spans="1:5">
      <c r="A612" s="120"/>
      <c r="B612" s="120"/>
      <c r="C612" s="121"/>
      <c r="D612" s="120"/>
      <c r="E612" s="120"/>
    </row>
    <row r="613" spans="1:5">
      <c r="A613" s="120"/>
      <c r="B613" s="120"/>
      <c r="C613" s="121"/>
      <c r="D613" s="120"/>
      <c r="E613" s="120"/>
    </row>
    <row r="614" spans="1:5">
      <c r="A614" s="120"/>
      <c r="B614" s="120"/>
      <c r="C614" s="121"/>
      <c r="D614" s="120"/>
      <c r="E614" s="120"/>
    </row>
    <row r="615" spans="1:5">
      <c r="A615" s="120"/>
      <c r="B615" s="120"/>
      <c r="C615" s="121"/>
      <c r="D615" s="120"/>
      <c r="E615" s="120"/>
    </row>
    <row r="616" spans="1:5">
      <c r="A616" s="120"/>
      <c r="B616" s="120"/>
      <c r="C616" s="121"/>
      <c r="D616" s="120"/>
      <c r="E616" s="120"/>
    </row>
    <row r="617" spans="1:5">
      <c r="A617" s="120"/>
      <c r="B617" s="120"/>
      <c r="C617" s="121"/>
      <c r="D617" s="120"/>
      <c r="E617" s="120"/>
    </row>
    <row r="618" spans="1:5">
      <c r="A618" s="120"/>
      <c r="B618" s="120"/>
      <c r="C618" s="121"/>
      <c r="D618" s="120"/>
      <c r="E618" s="120"/>
    </row>
    <row r="619" spans="1:5">
      <c r="A619" s="120"/>
      <c r="B619" s="120"/>
      <c r="C619" s="121"/>
      <c r="D619" s="120"/>
      <c r="E619" s="120"/>
    </row>
    <row r="620" spans="1:5">
      <c r="A620" s="120"/>
      <c r="B620" s="120"/>
      <c r="C620" s="121"/>
      <c r="D620" s="120"/>
      <c r="E620" s="120"/>
    </row>
    <row r="621" spans="1:5">
      <c r="A621" s="120"/>
      <c r="B621" s="120"/>
      <c r="C621" s="121"/>
      <c r="D621" s="120"/>
      <c r="E621" s="120"/>
    </row>
    <row r="622" spans="1:5">
      <c r="A622" s="120"/>
      <c r="B622" s="120"/>
      <c r="C622" s="121"/>
      <c r="D622" s="120"/>
      <c r="E622" s="120"/>
    </row>
    <row r="623" spans="1:5">
      <c r="A623" s="120"/>
      <c r="B623" s="120"/>
      <c r="C623" s="121"/>
      <c r="D623" s="120"/>
      <c r="E623" s="120"/>
    </row>
    <row r="624" spans="1:5">
      <c r="A624" s="120"/>
      <c r="B624" s="120"/>
      <c r="C624" s="121"/>
      <c r="D624" s="120"/>
      <c r="E624" s="120"/>
    </row>
    <row r="625" spans="1:5">
      <c r="A625" s="120"/>
      <c r="B625" s="120"/>
      <c r="C625" s="121"/>
      <c r="D625" s="120"/>
      <c r="E625" s="120"/>
    </row>
    <row r="626" spans="1:5">
      <c r="A626" s="120"/>
      <c r="B626" s="120"/>
      <c r="C626" s="121"/>
      <c r="D626" s="120"/>
      <c r="E626" s="120"/>
    </row>
    <row r="627" spans="1:5">
      <c r="A627" s="120"/>
      <c r="B627" s="120"/>
      <c r="C627" s="121"/>
      <c r="D627" s="120"/>
      <c r="E627" s="120"/>
    </row>
    <row r="628" spans="1:5">
      <c r="A628" s="120"/>
      <c r="B628" s="120"/>
      <c r="C628" s="121"/>
      <c r="D628" s="120"/>
      <c r="E628" s="120"/>
    </row>
    <row r="629" spans="1:5">
      <c r="A629" s="120"/>
      <c r="B629" s="120"/>
      <c r="C629" s="121"/>
      <c r="D629" s="120"/>
      <c r="E629" s="120"/>
    </row>
    <row r="630" spans="1:5">
      <c r="A630" s="120"/>
      <c r="B630" s="120"/>
      <c r="C630" s="121"/>
      <c r="D630" s="120"/>
      <c r="E630" s="120"/>
    </row>
    <row r="631" spans="1:5">
      <c r="A631" s="120"/>
      <c r="B631" s="120"/>
      <c r="C631" s="121"/>
      <c r="D631" s="120"/>
      <c r="E631" s="120"/>
    </row>
    <row r="632" spans="1:5">
      <c r="A632" s="120"/>
      <c r="B632" s="120"/>
      <c r="C632" s="121"/>
      <c r="D632" s="120"/>
      <c r="E632" s="120"/>
    </row>
    <row r="633" spans="1:5">
      <c r="A633" s="120"/>
      <c r="B633" s="120"/>
      <c r="C633" s="121"/>
      <c r="D633" s="120"/>
      <c r="E633" s="120"/>
    </row>
    <row r="634" spans="1:5">
      <c r="A634" s="120"/>
      <c r="B634" s="120"/>
      <c r="C634" s="121"/>
      <c r="D634" s="120"/>
      <c r="E634" s="120"/>
    </row>
    <row r="635" spans="1:5">
      <c r="A635" s="120"/>
      <c r="B635" s="120"/>
      <c r="C635" s="121"/>
      <c r="D635" s="120"/>
      <c r="E635" s="120"/>
    </row>
    <row r="636" spans="1:5">
      <c r="A636" s="120"/>
      <c r="B636" s="120"/>
      <c r="C636" s="121"/>
      <c r="D636" s="120"/>
      <c r="E636" s="120"/>
    </row>
    <row r="637" spans="1:5">
      <c r="A637" s="120"/>
      <c r="B637" s="120"/>
      <c r="C637" s="121"/>
      <c r="D637" s="120"/>
      <c r="E637" s="120"/>
    </row>
    <row r="638" spans="1:5">
      <c r="A638" s="120"/>
      <c r="B638" s="120"/>
      <c r="C638" s="121"/>
      <c r="D638" s="120"/>
      <c r="E638" s="120"/>
    </row>
    <row r="639" spans="1:5">
      <c r="A639" s="120"/>
      <c r="B639" s="120"/>
      <c r="C639" s="121"/>
      <c r="D639" s="120"/>
      <c r="E639" s="120"/>
    </row>
    <row r="640" spans="1:5">
      <c r="A640" s="120"/>
      <c r="B640" s="120"/>
      <c r="C640" s="121"/>
      <c r="D640" s="120"/>
      <c r="E640" s="120"/>
    </row>
    <row r="641" spans="1:5">
      <c r="A641" s="120"/>
      <c r="B641" s="120"/>
      <c r="C641" s="121"/>
      <c r="D641" s="120"/>
      <c r="E641" s="120"/>
    </row>
    <row r="642" spans="1:5">
      <c r="A642" s="120"/>
      <c r="B642" s="120"/>
      <c r="C642" s="121"/>
      <c r="D642" s="120"/>
      <c r="E642" s="120"/>
    </row>
    <row r="643" spans="1:5">
      <c r="A643" s="120"/>
      <c r="B643" s="120"/>
      <c r="C643" s="121"/>
      <c r="D643" s="120"/>
      <c r="E643" s="120"/>
    </row>
    <row r="644" spans="1:5">
      <c r="A644" s="120"/>
      <c r="B644" s="120"/>
      <c r="C644" s="121"/>
      <c r="D644" s="120"/>
      <c r="E644" s="120"/>
    </row>
    <row r="645" spans="1:5">
      <c r="A645" s="120"/>
      <c r="B645" s="120"/>
      <c r="C645" s="121"/>
      <c r="D645" s="120"/>
      <c r="E645" s="120"/>
    </row>
    <row r="646" spans="1:5">
      <c r="A646" s="120"/>
      <c r="B646" s="120"/>
      <c r="C646" s="121"/>
      <c r="D646" s="120"/>
      <c r="E646" s="120"/>
    </row>
    <row r="647" spans="1:5">
      <c r="A647" s="120"/>
      <c r="B647" s="120"/>
      <c r="C647" s="121"/>
      <c r="D647" s="120"/>
      <c r="E647" s="120"/>
    </row>
    <row r="648" spans="1:5">
      <c r="A648" s="120"/>
      <c r="B648" s="120"/>
      <c r="C648" s="121"/>
      <c r="D648" s="120"/>
      <c r="E648" s="120"/>
    </row>
    <row r="649" spans="1:5">
      <c r="A649" s="120"/>
      <c r="B649" s="120"/>
      <c r="C649" s="121"/>
      <c r="D649" s="120"/>
      <c r="E649" s="120"/>
    </row>
    <row r="650" spans="1:5">
      <c r="A650" s="120"/>
      <c r="B650" s="120"/>
      <c r="C650" s="121"/>
      <c r="D650" s="120"/>
      <c r="E650" s="120"/>
    </row>
    <row r="651" spans="1:5">
      <c r="A651" s="120"/>
      <c r="B651" s="120"/>
      <c r="C651" s="121"/>
      <c r="D651" s="120"/>
      <c r="E651" s="120"/>
    </row>
    <row r="652" spans="1:5">
      <c r="A652" s="120"/>
      <c r="B652" s="120"/>
      <c r="C652" s="121"/>
      <c r="D652" s="120"/>
      <c r="E652" s="120"/>
    </row>
    <row r="653" spans="1:5">
      <c r="A653" s="120"/>
      <c r="B653" s="120"/>
      <c r="C653" s="121"/>
      <c r="D653" s="120"/>
      <c r="E653" s="120"/>
    </row>
    <row r="654" spans="1:5">
      <c r="A654" s="120"/>
      <c r="B654" s="120"/>
      <c r="C654" s="121"/>
      <c r="D654" s="120"/>
      <c r="E654" s="120"/>
    </row>
    <row r="655" spans="1:5">
      <c r="A655" s="120"/>
      <c r="B655" s="120"/>
      <c r="C655" s="121"/>
      <c r="D655" s="120"/>
      <c r="E655" s="120"/>
    </row>
    <row r="656" spans="1:5">
      <c r="A656" s="120"/>
      <c r="B656" s="120"/>
      <c r="C656" s="121"/>
      <c r="D656" s="120"/>
      <c r="E656" s="120"/>
    </row>
    <row r="657" spans="1:5">
      <c r="A657" s="120"/>
      <c r="B657" s="120"/>
      <c r="C657" s="121"/>
      <c r="D657" s="120"/>
      <c r="E657" s="120"/>
    </row>
    <row r="658" spans="1:5">
      <c r="A658" s="120"/>
      <c r="B658" s="120"/>
      <c r="C658" s="121"/>
      <c r="D658" s="120"/>
      <c r="E658" s="120"/>
    </row>
    <row r="659" spans="1:5">
      <c r="A659" s="120"/>
      <c r="B659" s="120"/>
      <c r="C659" s="121"/>
      <c r="D659" s="120"/>
      <c r="E659" s="120"/>
    </row>
    <row r="660" spans="1:5">
      <c r="A660" s="120"/>
      <c r="B660" s="120"/>
      <c r="C660" s="121"/>
      <c r="D660" s="120"/>
      <c r="E660" s="120"/>
    </row>
    <row r="661" spans="1:5">
      <c r="A661" s="120"/>
      <c r="B661" s="120"/>
      <c r="C661" s="121"/>
      <c r="D661" s="120"/>
      <c r="E661" s="120"/>
    </row>
    <row r="662" spans="1:5">
      <c r="A662" s="120"/>
      <c r="B662" s="120"/>
      <c r="C662" s="121"/>
      <c r="D662" s="120"/>
      <c r="E662" s="120"/>
    </row>
    <row r="663" spans="1:5">
      <c r="A663" s="120"/>
      <c r="B663" s="120"/>
      <c r="C663" s="121"/>
      <c r="D663" s="120"/>
      <c r="E663" s="120"/>
    </row>
    <row r="664" spans="1:5">
      <c r="A664" s="120"/>
      <c r="B664" s="120"/>
      <c r="C664" s="121"/>
      <c r="D664" s="120"/>
      <c r="E664" s="120"/>
    </row>
    <row r="665" spans="1:5">
      <c r="A665" s="120"/>
      <c r="B665" s="120"/>
      <c r="C665" s="121"/>
      <c r="D665" s="120"/>
      <c r="E665" s="120"/>
    </row>
    <row r="666" spans="1:5">
      <c r="A666" s="120"/>
      <c r="B666" s="120"/>
      <c r="C666" s="121"/>
      <c r="D666" s="120"/>
      <c r="E666" s="120"/>
    </row>
    <row r="667" spans="1:5">
      <c r="A667" s="120"/>
      <c r="B667" s="120"/>
      <c r="C667" s="121"/>
      <c r="D667" s="120"/>
      <c r="E667" s="120"/>
    </row>
    <row r="668" spans="1:5">
      <c r="A668" s="120"/>
      <c r="B668" s="120"/>
      <c r="C668" s="121"/>
      <c r="D668" s="120"/>
      <c r="E668" s="120"/>
    </row>
    <row r="669" spans="1:5">
      <c r="A669" s="120"/>
      <c r="B669" s="120"/>
      <c r="C669" s="121"/>
      <c r="D669" s="120"/>
      <c r="E669" s="120"/>
    </row>
    <row r="670" spans="1:5">
      <c r="A670" s="120"/>
      <c r="B670" s="120"/>
      <c r="C670" s="121"/>
      <c r="D670" s="120"/>
      <c r="E670" s="120"/>
    </row>
    <row r="671" spans="1:5">
      <c r="A671" s="120"/>
      <c r="B671" s="120"/>
      <c r="C671" s="121"/>
      <c r="D671" s="120"/>
      <c r="E671" s="120"/>
    </row>
    <row r="672" spans="1:5">
      <c r="A672" s="120"/>
      <c r="B672" s="120"/>
      <c r="C672" s="121"/>
      <c r="D672" s="120"/>
      <c r="E672" s="120"/>
    </row>
    <row r="673" spans="1:5">
      <c r="A673" s="120"/>
      <c r="B673" s="120"/>
      <c r="C673" s="121"/>
      <c r="D673" s="120"/>
      <c r="E673" s="120"/>
    </row>
    <row r="674" spans="1:5">
      <c r="A674" s="120"/>
      <c r="B674" s="120"/>
      <c r="C674" s="121"/>
      <c r="D674" s="120"/>
      <c r="E674" s="120"/>
    </row>
    <row r="675" spans="1:5">
      <c r="A675" s="120"/>
      <c r="B675" s="120"/>
      <c r="C675" s="121"/>
      <c r="D675" s="120"/>
      <c r="E675" s="120"/>
    </row>
    <row r="676" spans="1:5">
      <c r="A676" s="120"/>
      <c r="B676" s="120"/>
      <c r="C676" s="121"/>
      <c r="D676" s="120"/>
      <c r="E676" s="120"/>
    </row>
    <row r="677" spans="1:5">
      <c r="A677" s="120"/>
      <c r="B677" s="120"/>
      <c r="C677" s="121"/>
      <c r="D677" s="120"/>
      <c r="E677" s="120"/>
    </row>
    <row r="678" spans="1:5">
      <c r="A678" s="120"/>
      <c r="B678" s="120"/>
      <c r="C678" s="121"/>
      <c r="D678" s="120"/>
      <c r="E678" s="120"/>
    </row>
    <row r="679" spans="1:5">
      <c r="A679" s="120"/>
      <c r="B679" s="120"/>
      <c r="C679" s="121"/>
      <c r="D679" s="120"/>
      <c r="E679" s="120"/>
    </row>
    <row r="680" spans="1:5">
      <c r="A680" s="120"/>
      <c r="B680" s="120"/>
      <c r="C680" s="121"/>
      <c r="D680" s="120"/>
      <c r="E680" s="120"/>
    </row>
    <row r="681" spans="1:5">
      <c r="A681" s="120"/>
      <c r="B681" s="120"/>
      <c r="C681" s="121"/>
      <c r="D681" s="120"/>
      <c r="E681" s="120"/>
    </row>
    <row r="682" spans="1:5">
      <c r="A682" s="120"/>
      <c r="B682" s="120"/>
      <c r="C682" s="121"/>
      <c r="D682" s="120"/>
      <c r="E682" s="120"/>
    </row>
    <row r="683" spans="1:5">
      <c r="A683" s="120"/>
      <c r="B683" s="120"/>
      <c r="C683" s="121"/>
      <c r="D683" s="120"/>
      <c r="E683" s="120"/>
    </row>
    <row r="684" spans="1:5">
      <c r="A684" s="120"/>
      <c r="B684" s="120"/>
      <c r="C684" s="121"/>
      <c r="D684" s="120"/>
      <c r="E684" s="120"/>
    </row>
    <row r="685" spans="1:5">
      <c r="A685" s="120"/>
      <c r="B685" s="120"/>
      <c r="C685" s="121"/>
      <c r="D685" s="120"/>
      <c r="E685" s="120"/>
    </row>
    <row r="686" spans="1:5">
      <c r="A686" s="120"/>
      <c r="B686" s="120"/>
      <c r="C686" s="121"/>
      <c r="D686" s="120"/>
      <c r="E686" s="120"/>
    </row>
    <row r="687" spans="1:5">
      <c r="A687" s="120"/>
      <c r="B687" s="120"/>
      <c r="C687" s="121"/>
      <c r="D687" s="120"/>
      <c r="E687" s="120"/>
    </row>
    <row r="688" spans="1:5">
      <c r="A688" s="120"/>
      <c r="B688" s="120"/>
      <c r="C688" s="121"/>
      <c r="D688" s="120"/>
      <c r="E688" s="120"/>
    </row>
    <row r="689" spans="1:5">
      <c r="A689" s="120"/>
      <c r="B689" s="120"/>
      <c r="C689" s="121"/>
      <c r="D689" s="120"/>
      <c r="E689" s="120"/>
    </row>
    <row r="690" spans="1:5">
      <c r="A690" s="120"/>
      <c r="B690" s="120"/>
      <c r="C690" s="121"/>
      <c r="D690" s="120"/>
      <c r="E690" s="120"/>
    </row>
    <row r="691" spans="1:5">
      <c r="A691" s="120"/>
      <c r="B691" s="120"/>
      <c r="C691" s="121"/>
      <c r="D691" s="120"/>
      <c r="E691" s="120"/>
    </row>
    <row r="692" spans="1:5">
      <c r="A692" s="120"/>
      <c r="B692" s="120"/>
      <c r="C692" s="121"/>
      <c r="D692" s="120"/>
      <c r="E692" s="120"/>
    </row>
    <row r="693" spans="1:5">
      <c r="A693" s="120"/>
      <c r="B693" s="120"/>
      <c r="C693" s="121"/>
      <c r="D693" s="120"/>
      <c r="E693" s="120"/>
    </row>
    <row r="694" spans="1:5">
      <c r="A694" s="120"/>
      <c r="B694" s="120"/>
      <c r="C694" s="121"/>
      <c r="D694" s="120"/>
      <c r="E694" s="120"/>
    </row>
    <row r="695" spans="1:5">
      <c r="A695" s="120"/>
      <c r="B695" s="120"/>
      <c r="C695" s="121"/>
      <c r="D695" s="120"/>
      <c r="E695" s="120"/>
    </row>
    <row r="696" spans="1:5">
      <c r="A696" s="120"/>
      <c r="B696" s="120"/>
      <c r="C696" s="121"/>
      <c r="D696" s="120"/>
      <c r="E696" s="120"/>
    </row>
    <row r="697" spans="1:5">
      <c r="A697" s="120"/>
      <c r="B697" s="120"/>
      <c r="C697" s="121"/>
      <c r="D697" s="120"/>
      <c r="E697" s="120"/>
    </row>
    <row r="698" spans="1:5">
      <c r="A698" s="120"/>
      <c r="B698" s="120"/>
      <c r="C698" s="121"/>
      <c r="D698" s="120"/>
      <c r="E698" s="120"/>
    </row>
    <row r="699" spans="1:5">
      <c r="A699" s="120"/>
      <c r="B699" s="120"/>
      <c r="C699" s="121"/>
      <c r="D699" s="120"/>
      <c r="E699" s="120"/>
    </row>
    <row r="700" spans="1:5">
      <c r="A700" s="120"/>
      <c r="B700" s="120"/>
      <c r="C700" s="121"/>
      <c r="D700" s="120"/>
      <c r="E700" s="120"/>
    </row>
    <row r="701" spans="1:5">
      <c r="A701" s="120"/>
      <c r="B701" s="120"/>
      <c r="C701" s="121"/>
      <c r="D701" s="120"/>
      <c r="E701" s="120"/>
    </row>
    <row r="702" spans="1:5">
      <c r="A702" s="120"/>
      <c r="B702" s="120"/>
      <c r="C702" s="121"/>
      <c r="D702" s="120"/>
      <c r="E702" s="120"/>
    </row>
    <row r="703" spans="1:5">
      <c r="A703" s="120"/>
      <c r="B703" s="120"/>
      <c r="C703" s="121"/>
      <c r="D703" s="120"/>
      <c r="E703" s="120"/>
    </row>
    <row r="704" spans="1:5">
      <c r="A704" s="120"/>
      <c r="B704" s="120"/>
      <c r="C704" s="121"/>
      <c r="D704" s="120"/>
      <c r="E704" s="120"/>
    </row>
    <row r="705" spans="1:5">
      <c r="A705" s="120"/>
      <c r="B705" s="120"/>
      <c r="C705" s="121"/>
      <c r="D705" s="120"/>
      <c r="E705" s="120"/>
    </row>
    <row r="706" spans="1:5">
      <c r="A706" s="120"/>
      <c r="B706" s="120"/>
      <c r="C706" s="121"/>
      <c r="D706" s="120"/>
      <c r="E706" s="120"/>
    </row>
    <row r="707" spans="1:5">
      <c r="A707" s="120"/>
      <c r="B707" s="120"/>
      <c r="C707" s="121"/>
      <c r="D707" s="120"/>
      <c r="E707" s="120"/>
    </row>
    <row r="708" spans="1:5">
      <c r="A708" s="120"/>
      <c r="B708" s="120"/>
      <c r="C708" s="121"/>
      <c r="D708" s="120"/>
      <c r="E708" s="120"/>
    </row>
    <row r="709" spans="1:5">
      <c r="A709" s="120"/>
      <c r="B709" s="120"/>
      <c r="C709" s="121"/>
      <c r="D709" s="120"/>
      <c r="E709" s="120"/>
    </row>
    <row r="710" spans="1:5">
      <c r="A710" s="120"/>
      <c r="B710" s="120"/>
      <c r="C710" s="121"/>
      <c r="D710" s="120"/>
      <c r="E710" s="120"/>
    </row>
    <row r="711" spans="1:5">
      <c r="A711" s="120"/>
      <c r="B711" s="120"/>
      <c r="C711" s="121"/>
      <c r="D711" s="120"/>
      <c r="E711" s="120"/>
    </row>
    <row r="712" spans="1:5">
      <c r="A712" s="120"/>
      <c r="B712" s="120"/>
      <c r="C712" s="121"/>
      <c r="D712" s="120"/>
      <c r="E712" s="120"/>
    </row>
    <row r="713" spans="1:5">
      <c r="A713" s="120"/>
      <c r="B713" s="120"/>
      <c r="C713" s="121"/>
      <c r="D713" s="120"/>
      <c r="E713" s="120"/>
    </row>
    <row r="714" spans="1:5">
      <c r="A714" s="120"/>
      <c r="B714" s="120"/>
      <c r="C714" s="121"/>
      <c r="D714" s="120"/>
      <c r="E714" s="120"/>
    </row>
    <row r="715" spans="1:5">
      <c r="A715" s="120"/>
      <c r="B715" s="120"/>
      <c r="C715" s="121"/>
      <c r="D715" s="120"/>
      <c r="E715" s="120"/>
    </row>
    <row r="716" spans="1:5">
      <c r="A716" s="120"/>
      <c r="B716" s="120"/>
      <c r="C716" s="121"/>
      <c r="D716" s="120"/>
      <c r="E716" s="120"/>
    </row>
    <row r="717" spans="1:5">
      <c r="A717" s="120"/>
      <c r="B717" s="120"/>
      <c r="C717" s="121"/>
      <c r="D717" s="120"/>
      <c r="E717" s="120"/>
    </row>
    <row r="718" spans="1:5">
      <c r="A718" s="120"/>
      <c r="B718" s="120"/>
      <c r="C718" s="121"/>
      <c r="D718" s="120"/>
      <c r="E718" s="120"/>
    </row>
    <row r="719" spans="1:5">
      <c r="A719" s="120"/>
      <c r="B719" s="120"/>
      <c r="C719" s="121"/>
      <c r="D719" s="120"/>
      <c r="E719" s="120"/>
    </row>
    <row r="720" spans="1:5">
      <c r="A720" s="120"/>
      <c r="B720" s="120"/>
      <c r="C720" s="121"/>
      <c r="D720" s="120"/>
      <c r="E720" s="120"/>
    </row>
    <row r="721" spans="1:5">
      <c r="A721" s="120"/>
      <c r="B721" s="120"/>
      <c r="C721" s="121"/>
      <c r="D721" s="120"/>
      <c r="E721" s="120"/>
    </row>
    <row r="722" spans="1:5">
      <c r="A722" s="120"/>
      <c r="B722" s="120"/>
      <c r="C722" s="121"/>
      <c r="D722" s="120"/>
      <c r="E722" s="120"/>
    </row>
    <row r="723" spans="1:5">
      <c r="A723" s="120"/>
      <c r="B723" s="120"/>
      <c r="C723" s="121"/>
      <c r="D723" s="120"/>
      <c r="E723" s="120"/>
    </row>
    <row r="724" spans="1:5">
      <c r="A724" s="120"/>
      <c r="B724" s="120"/>
      <c r="C724" s="121"/>
      <c r="D724" s="120"/>
      <c r="E724" s="120"/>
    </row>
    <row r="725" spans="1:5">
      <c r="A725" s="120"/>
      <c r="B725" s="120"/>
      <c r="C725" s="121"/>
      <c r="D725" s="120"/>
      <c r="E725" s="120"/>
    </row>
    <row r="726" spans="1:5">
      <c r="A726" s="120"/>
      <c r="B726" s="120"/>
      <c r="C726" s="121"/>
      <c r="D726" s="120"/>
      <c r="E726" s="120"/>
    </row>
    <row r="727" spans="1:5">
      <c r="A727" s="120"/>
      <c r="B727" s="120"/>
      <c r="C727" s="121"/>
      <c r="D727" s="120"/>
      <c r="E727" s="120"/>
    </row>
    <row r="728" spans="1:5">
      <c r="A728" s="120"/>
      <c r="B728" s="120"/>
      <c r="C728" s="121"/>
      <c r="D728" s="120"/>
      <c r="E728" s="120"/>
    </row>
    <row r="729" spans="1:5">
      <c r="A729" s="120"/>
      <c r="B729" s="120"/>
      <c r="C729" s="121"/>
      <c r="D729" s="120"/>
      <c r="E729" s="120"/>
    </row>
    <row r="730" spans="1:5">
      <c r="A730" s="120"/>
      <c r="B730" s="120"/>
      <c r="C730" s="121"/>
      <c r="D730" s="120"/>
      <c r="E730" s="120"/>
    </row>
    <row r="731" spans="1:5">
      <c r="A731" s="120"/>
      <c r="B731" s="120"/>
      <c r="C731" s="121"/>
      <c r="D731" s="120"/>
      <c r="E731" s="120"/>
    </row>
    <row r="732" spans="1:5">
      <c r="A732" s="120"/>
      <c r="B732" s="120"/>
      <c r="C732" s="121"/>
      <c r="D732" s="120"/>
      <c r="E732" s="120"/>
    </row>
    <row r="733" spans="1:5">
      <c r="A733" s="120"/>
      <c r="B733" s="120"/>
      <c r="C733" s="121"/>
      <c r="D733" s="120"/>
      <c r="E733" s="120"/>
    </row>
    <row r="734" spans="1:5">
      <c r="A734" s="120"/>
      <c r="B734" s="120"/>
      <c r="C734" s="121"/>
      <c r="D734" s="120"/>
      <c r="E734" s="120"/>
    </row>
    <row r="735" spans="1:5">
      <c r="A735" s="120"/>
      <c r="B735" s="120"/>
      <c r="C735" s="121"/>
      <c r="D735" s="120"/>
      <c r="E735" s="120"/>
    </row>
    <row r="736" spans="1:5">
      <c r="A736" s="120"/>
      <c r="B736" s="120"/>
      <c r="C736" s="121"/>
      <c r="D736" s="120"/>
      <c r="E736" s="120"/>
    </row>
    <row r="737" spans="1:5">
      <c r="A737" s="120"/>
      <c r="B737" s="120"/>
      <c r="C737" s="121"/>
      <c r="D737" s="120"/>
      <c r="E737" s="120"/>
    </row>
    <row r="738" spans="1:5">
      <c r="A738" s="120"/>
      <c r="B738" s="120"/>
      <c r="C738" s="121"/>
      <c r="D738" s="120"/>
      <c r="E738" s="120"/>
    </row>
    <row r="739" spans="1:5">
      <c r="A739" s="120"/>
      <c r="B739" s="120"/>
      <c r="C739" s="121"/>
      <c r="D739" s="120"/>
      <c r="E739" s="120"/>
    </row>
    <row r="740" spans="1:5">
      <c r="A740" s="120"/>
      <c r="B740" s="120"/>
      <c r="C740" s="121"/>
      <c r="D740" s="120"/>
      <c r="E740" s="120"/>
    </row>
    <row r="741" spans="1:5">
      <c r="A741" s="120"/>
      <c r="B741" s="120"/>
      <c r="C741" s="121"/>
      <c r="D741" s="120"/>
      <c r="E741" s="120"/>
    </row>
    <row r="742" spans="1:5">
      <c r="A742" s="120"/>
      <c r="B742" s="120"/>
      <c r="C742" s="121"/>
      <c r="D742" s="120"/>
      <c r="E742" s="120"/>
    </row>
    <row r="743" spans="1:5">
      <c r="A743" s="120"/>
      <c r="B743" s="120"/>
      <c r="C743" s="121"/>
      <c r="D743" s="120"/>
      <c r="E743" s="120"/>
    </row>
    <row r="744" spans="1:5">
      <c r="A744" s="120"/>
      <c r="B744" s="120"/>
      <c r="C744" s="121"/>
      <c r="D744" s="120"/>
      <c r="E744" s="120"/>
    </row>
    <row r="745" spans="1:5">
      <c r="A745" s="120"/>
      <c r="B745" s="120"/>
      <c r="C745" s="121"/>
      <c r="D745" s="120"/>
      <c r="E745" s="120"/>
    </row>
    <row r="746" spans="1:5">
      <c r="A746" s="120"/>
      <c r="B746" s="120"/>
      <c r="C746" s="121"/>
      <c r="D746" s="120"/>
      <c r="E746" s="120"/>
    </row>
    <row r="747" spans="1:5">
      <c r="A747" s="120"/>
      <c r="B747" s="120"/>
      <c r="C747" s="121"/>
      <c r="D747" s="120"/>
      <c r="E747" s="120"/>
    </row>
    <row r="748" spans="1:5">
      <c r="A748" s="120"/>
      <c r="B748" s="120"/>
      <c r="C748" s="121"/>
      <c r="D748" s="120"/>
      <c r="E748" s="120"/>
    </row>
    <row r="749" spans="1:5">
      <c r="A749" s="120"/>
      <c r="B749" s="120"/>
      <c r="C749" s="121"/>
      <c r="D749" s="120"/>
      <c r="E749" s="120"/>
    </row>
    <row r="750" spans="1:5">
      <c r="A750" s="120"/>
      <c r="B750" s="120"/>
      <c r="C750" s="121"/>
      <c r="D750" s="120"/>
      <c r="E750" s="120"/>
    </row>
    <row r="751" spans="1:5">
      <c r="A751" s="120"/>
      <c r="B751" s="120"/>
      <c r="C751" s="121"/>
      <c r="D751" s="120"/>
      <c r="E751" s="120"/>
    </row>
    <row r="752" spans="1:5">
      <c r="A752" s="120"/>
      <c r="B752" s="120"/>
      <c r="C752" s="121"/>
      <c r="D752" s="120"/>
      <c r="E752" s="120"/>
    </row>
    <row r="753" spans="1:5">
      <c r="A753" s="120"/>
      <c r="B753" s="120"/>
      <c r="C753" s="121"/>
      <c r="D753" s="120"/>
      <c r="E753" s="120"/>
    </row>
    <row r="754" spans="1:5">
      <c r="A754" s="120"/>
      <c r="B754" s="120"/>
      <c r="C754" s="121"/>
      <c r="D754" s="120"/>
      <c r="E754" s="120"/>
    </row>
    <row r="755" spans="1:5">
      <c r="A755" s="120"/>
      <c r="B755" s="120"/>
      <c r="C755" s="121"/>
      <c r="D755" s="120"/>
      <c r="E755" s="120"/>
    </row>
    <row r="756" spans="1:5">
      <c r="A756" s="120"/>
      <c r="B756" s="120"/>
      <c r="C756" s="121"/>
      <c r="D756" s="120"/>
      <c r="E756" s="120"/>
    </row>
    <row r="757" spans="1:5">
      <c r="A757" s="120"/>
      <c r="B757" s="120"/>
      <c r="C757" s="121"/>
      <c r="D757" s="120"/>
      <c r="E757" s="120"/>
    </row>
    <row r="758" spans="1:5">
      <c r="A758" s="120"/>
      <c r="B758" s="120"/>
      <c r="C758" s="121"/>
      <c r="D758" s="120"/>
      <c r="E758" s="120"/>
    </row>
    <row r="759" spans="1:5">
      <c r="A759" s="120"/>
      <c r="B759" s="120"/>
      <c r="C759" s="121"/>
      <c r="D759" s="120"/>
      <c r="E759" s="120"/>
    </row>
    <row r="760" spans="1:5">
      <c r="A760" s="120"/>
      <c r="B760" s="120"/>
      <c r="C760" s="121"/>
      <c r="D760" s="120"/>
      <c r="E760" s="120"/>
    </row>
    <row r="761" spans="1:5">
      <c r="A761" s="120"/>
      <c r="B761" s="120"/>
      <c r="C761" s="121"/>
      <c r="D761" s="120"/>
      <c r="E761" s="120"/>
    </row>
    <row r="762" spans="1:5">
      <c r="A762" s="120"/>
      <c r="B762" s="120"/>
      <c r="C762" s="121"/>
      <c r="D762" s="120"/>
      <c r="E762" s="120"/>
    </row>
    <row r="763" spans="1:5">
      <c r="A763" s="120"/>
      <c r="B763" s="120"/>
      <c r="C763" s="121"/>
      <c r="D763" s="120"/>
      <c r="E763" s="120"/>
    </row>
    <row r="764" spans="1:5">
      <c r="A764" s="120"/>
      <c r="B764" s="120"/>
      <c r="C764" s="121"/>
      <c r="D764" s="120"/>
      <c r="E764" s="120"/>
    </row>
    <row r="765" spans="1:5">
      <c r="A765" s="120"/>
      <c r="B765" s="120"/>
      <c r="C765" s="121"/>
      <c r="D765" s="120"/>
      <c r="E765" s="120"/>
    </row>
    <row r="766" spans="1:5">
      <c r="A766" s="120"/>
      <c r="B766" s="120"/>
      <c r="C766" s="121"/>
      <c r="D766" s="120"/>
      <c r="E766" s="120"/>
    </row>
    <row r="767" spans="1:5">
      <c r="A767" s="120"/>
      <c r="B767" s="120"/>
      <c r="C767" s="121"/>
      <c r="D767" s="120"/>
      <c r="E767" s="120"/>
    </row>
    <row r="768" spans="1:5">
      <c r="A768" s="120"/>
      <c r="B768" s="120"/>
      <c r="C768" s="121"/>
      <c r="D768" s="120"/>
      <c r="E768" s="120"/>
    </row>
    <row r="769" spans="1:5">
      <c r="A769" s="120"/>
      <c r="B769" s="120"/>
      <c r="C769" s="121"/>
      <c r="D769" s="120"/>
      <c r="E769" s="120"/>
    </row>
    <row r="770" spans="1:5">
      <c r="A770" s="120"/>
      <c r="B770" s="120"/>
      <c r="C770" s="121"/>
      <c r="D770" s="120"/>
      <c r="E770" s="120"/>
    </row>
    <row r="771" spans="1:5">
      <c r="A771" s="120"/>
      <c r="B771" s="120"/>
      <c r="C771" s="121"/>
      <c r="D771" s="120"/>
      <c r="E771" s="120"/>
    </row>
    <row r="772" spans="1:5">
      <c r="A772" s="120"/>
      <c r="B772" s="120"/>
      <c r="C772" s="121"/>
      <c r="D772" s="120"/>
      <c r="E772" s="120"/>
    </row>
    <row r="773" spans="1:5">
      <c r="A773" s="120"/>
      <c r="B773" s="120"/>
      <c r="C773" s="121"/>
      <c r="D773" s="120"/>
      <c r="E773" s="120"/>
    </row>
    <row r="774" spans="1:5">
      <c r="A774" s="120"/>
      <c r="B774" s="120"/>
      <c r="C774" s="121"/>
      <c r="D774" s="120"/>
      <c r="E774" s="120"/>
    </row>
    <row r="775" spans="1:5">
      <c r="A775" s="120"/>
      <c r="B775" s="120"/>
      <c r="C775" s="121"/>
      <c r="D775" s="120"/>
      <c r="E775" s="120"/>
    </row>
    <row r="776" spans="1:5">
      <c r="A776" s="120"/>
      <c r="B776" s="120"/>
      <c r="C776" s="121"/>
      <c r="D776" s="120"/>
      <c r="E776" s="120"/>
    </row>
    <row r="777" spans="1:5">
      <c r="A777" s="120"/>
      <c r="B777" s="120"/>
      <c r="C777" s="121"/>
      <c r="D777" s="120"/>
      <c r="E777" s="120"/>
    </row>
    <row r="778" spans="1:5">
      <c r="A778" s="120"/>
      <c r="B778" s="120"/>
      <c r="C778" s="121"/>
      <c r="D778" s="120"/>
      <c r="E778" s="120"/>
    </row>
    <row r="779" spans="1:5">
      <c r="A779" s="120"/>
      <c r="B779" s="120"/>
      <c r="C779" s="121"/>
      <c r="D779" s="120"/>
      <c r="E779" s="120"/>
    </row>
    <row r="780" spans="1:5">
      <c r="A780" s="120"/>
      <c r="B780" s="120"/>
      <c r="C780" s="121"/>
      <c r="D780" s="120"/>
      <c r="E780" s="120"/>
    </row>
    <row r="781" spans="1:5">
      <c r="A781" s="120"/>
      <c r="B781" s="120"/>
      <c r="C781" s="121"/>
      <c r="D781" s="120"/>
      <c r="E781" s="120"/>
    </row>
    <row r="782" spans="1:5">
      <c r="A782" s="120"/>
      <c r="B782" s="120"/>
      <c r="C782" s="121"/>
      <c r="D782" s="120"/>
      <c r="E782" s="120"/>
    </row>
    <row r="783" spans="1:5">
      <c r="A783" s="120"/>
      <c r="B783" s="120"/>
      <c r="C783" s="121"/>
      <c r="D783" s="120"/>
      <c r="E783" s="120"/>
    </row>
    <row r="784" spans="1:5">
      <c r="A784" s="120"/>
      <c r="B784" s="120"/>
      <c r="C784" s="121"/>
      <c r="D784" s="120"/>
      <c r="E784" s="120"/>
    </row>
    <row r="785" spans="1:5">
      <c r="A785" s="120"/>
      <c r="B785" s="120"/>
      <c r="C785" s="121"/>
      <c r="D785" s="120"/>
      <c r="E785" s="120"/>
    </row>
    <row r="786" spans="1:5">
      <c r="A786" s="120"/>
      <c r="B786" s="120"/>
      <c r="C786" s="121"/>
      <c r="D786" s="120"/>
      <c r="E786" s="120"/>
    </row>
    <row r="787" spans="1:5">
      <c r="A787" s="120"/>
      <c r="B787" s="120"/>
      <c r="C787" s="121"/>
      <c r="D787" s="120"/>
      <c r="E787" s="120"/>
    </row>
    <row r="788" spans="1:5">
      <c r="A788" s="120"/>
      <c r="B788" s="120"/>
      <c r="C788" s="121"/>
      <c r="D788" s="120"/>
      <c r="E788" s="120"/>
    </row>
    <row r="789" spans="1:5">
      <c r="A789" s="120"/>
      <c r="B789" s="120"/>
      <c r="C789" s="121"/>
      <c r="D789" s="120"/>
      <c r="E789" s="120"/>
    </row>
    <row r="790" spans="1:5">
      <c r="A790" s="120"/>
      <c r="B790" s="120"/>
      <c r="C790" s="121"/>
      <c r="D790" s="120"/>
      <c r="E790" s="120"/>
    </row>
    <row r="791" spans="1:5">
      <c r="A791" s="120"/>
      <c r="B791" s="120"/>
      <c r="C791" s="121"/>
      <c r="D791" s="120"/>
      <c r="E791" s="120"/>
    </row>
    <row r="792" spans="1:5">
      <c r="A792" s="120"/>
      <c r="B792" s="120"/>
      <c r="C792" s="121"/>
      <c r="D792" s="120"/>
      <c r="E792" s="120"/>
    </row>
    <row r="793" spans="1:5">
      <c r="A793" s="120"/>
      <c r="B793" s="120"/>
      <c r="C793" s="121"/>
      <c r="D793" s="120"/>
      <c r="E793" s="120"/>
    </row>
    <row r="794" spans="1:5">
      <c r="A794" s="120"/>
      <c r="B794" s="120"/>
      <c r="C794" s="121"/>
      <c r="D794" s="120"/>
      <c r="E794" s="120"/>
    </row>
    <row r="795" spans="1:5">
      <c r="A795" s="120"/>
      <c r="B795" s="120"/>
      <c r="C795" s="121"/>
      <c r="D795" s="120"/>
      <c r="E795" s="120"/>
    </row>
    <row r="796" spans="1:5">
      <c r="A796" s="120"/>
      <c r="B796" s="120"/>
      <c r="C796" s="121"/>
      <c r="D796" s="120"/>
      <c r="E796" s="120"/>
    </row>
    <row r="797" spans="1:5">
      <c r="A797" s="120"/>
      <c r="B797" s="120"/>
      <c r="C797" s="121"/>
      <c r="D797" s="120"/>
      <c r="E797" s="120"/>
    </row>
    <row r="798" spans="1:5">
      <c r="A798" s="120"/>
      <c r="B798" s="120"/>
      <c r="C798" s="121"/>
      <c r="D798" s="120"/>
      <c r="E798" s="120"/>
    </row>
    <row r="799" spans="1:5">
      <c r="A799" s="120"/>
      <c r="B799" s="120"/>
      <c r="C799" s="121"/>
      <c r="D799" s="120"/>
      <c r="E799" s="120"/>
    </row>
    <row r="800" spans="1:5">
      <c r="A800" s="120"/>
      <c r="B800" s="120"/>
      <c r="C800" s="121"/>
      <c r="D800" s="120"/>
      <c r="E800" s="120"/>
    </row>
    <row r="801" spans="1:5">
      <c r="A801" s="120"/>
      <c r="B801" s="120"/>
      <c r="C801" s="121"/>
      <c r="D801" s="120"/>
      <c r="E801" s="120"/>
    </row>
    <row r="802" spans="1:5">
      <c r="A802" s="120"/>
      <c r="B802" s="120"/>
      <c r="C802" s="121"/>
      <c r="D802" s="120"/>
      <c r="E802" s="120"/>
    </row>
    <row r="803" spans="1:5">
      <c r="A803" s="120"/>
      <c r="B803" s="120"/>
      <c r="C803" s="121"/>
      <c r="D803" s="120"/>
      <c r="E803" s="120"/>
    </row>
    <row r="804" spans="1:5">
      <c r="A804" s="120"/>
      <c r="B804" s="120"/>
      <c r="C804" s="121"/>
      <c r="D804" s="120"/>
      <c r="E804" s="120"/>
    </row>
    <row r="805" spans="1:5">
      <c r="A805" s="120"/>
      <c r="B805" s="120"/>
      <c r="C805" s="121"/>
      <c r="D805" s="120"/>
      <c r="E805" s="120"/>
    </row>
    <row r="806" spans="1:5">
      <c r="A806" s="120"/>
      <c r="B806" s="120"/>
      <c r="C806" s="121"/>
      <c r="D806" s="120"/>
      <c r="E806" s="120"/>
    </row>
    <row r="807" spans="1:5">
      <c r="A807" s="120"/>
      <c r="B807" s="120"/>
      <c r="C807" s="121"/>
      <c r="D807" s="120"/>
      <c r="E807" s="120"/>
    </row>
    <row r="808" spans="1:5">
      <c r="A808" s="120"/>
      <c r="B808" s="120"/>
      <c r="C808" s="121"/>
      <c r="D808" s="120"/>
      <c r="E808" s="120"/>
    </row>
    <row r="809" spans="1:5">
      <c r="A809" s="120"/>
      <c r="B809" s="120"/>
      <c r="C809" s="121"/>
      <c r="D809" s="120"/>
      <c r="E809" s="120"/>
    </row>
    <row r="810" spans="1:5">
      <c r="A810" s="120"/>
      <c r="B810" s="120"/>
      <c r="C810" s="121"/>
      <c r="D810" s="120"/>
      <c r="E810" s="120"/>
    </row>
    <row r="811" spans="1:5">
      <c r="A811" s="120"/>
      <c r="B811" s="120"/>
      <c r="C811" s="121"/>
      <c r="D811" s="120"/>
      <c r="E811" s="120"/>
    </row>
    <row r="812" spans="1:5">
      <c r="A812" s="120"/>
      <c r="B812" s="120"/>
      <c r="C812" s="121"/>
      <c r="D812" s="120"/>
      <c r="E812" s="120"/>
    </row>
    <row r="813" spans="1:5">
      <c r="A813" s="120"/>
      <c r="B813" s="120"/>
      <c r="C813" s="121"/>
      <c r="D813" s="120"/>
      <c r="E813" s="120"/>
    </row>
    <row r="814" spans="1:5">
      <c r="A814" s="120"/>
      <c r="B814" s="120"/>
      <c r="C814" s="121"/>
      <c r="D814" s="120"/>
      <c r="E814" s="120"/>
    </row>
    <row r="815" spans="1:5">
      <c r="A815" s="120"/>
      <c r="B815" s="120"/>
      <c r="C815" s="121"/>
      <c r="D815" s="120"/>
      <c r="E815" s="120"/>
    </row>
    <row r="816" spans="1:5">
      <c r="A816" s="120"/>
      <c r="B816" s="120"/>
      <c r="C816" s="121"/>
      <c r="D816" s="120"/>
      <c r="E816" s="120"/>
    </row>
    <row r="817" spans="1:5">
      <c r="A817" s="120"/>
      <c r="B817" s="120"/>
      <c r="C817" s="121"/>
      <c r="D817" s="120"/>
      <c r="E817" s="120"/>
    </row>
    <row r="818" spans="1:5">
      <c r="A818" s="120"/>
      <c r="B818" s="120"/>
      <c r="C818" s="121"/>
      <c r="D818" s="120"/>
      <c r="E818" s="120"/>
    </row>
    <row r="819" spans="1:5">
      <c r="A819" s="120"/>
      <c r="B819" s="120"/>
      <c r="C819" s="121"/>
      <c r="D819" s="120"/>
      <c r="E819" s="120"/>
    </row>
    <row r="820" spans="1:5">
      <c r="A820" s="120"/>
      <c r="B820" s="120"/>
      <c r="C820" s="121"/>
      <c r="D820" s="120"/>
      <c r="E820" s="120"/>
    </row>
    <row r="821" spans="1:5">
      <c r="A821" s="120"/>
      <c r="B821" s="120"/>
      <c r="C821" s="121"/>
      <c r="D821" s="120"/>
      <c r="E821" s="120"/>
    </row>
    <row r="822" spans="1:5">
      <c r="A822" s="120"/>
      <c r="B822" s="120"/>
      <c r="C822" s="121"/>
      <c r="D822" s="120"/>
      <c r="E822" s="120"/>
    </row>
    <row r="823" spans="1:5">
      <c r="A823" s="120"/>
      <c r="B823" s="120"/>
      <c r="C823" s="121"/>
      <c r="D823" s="120"/>
      <c r="E823" s="120"/>
    </row>
    <row r="824" spans="1:5">
      <c r="A824" s="120"/>
      <c r="B824" s="120"/>
      <c r="C824" s="121"/>
      <c r="D824" s="120"/>
      <c r="E824" s="120"/>
    </row>
    <row r="825" spans="1:5">
      <c r="A825" s="120"/>
      <c r="B825" s="120"/>
      <c r="C825" s="121"/>
      <c r="D825" s="120"/>
      <c r="E825" s="120"/>
    </row>
    <row r="826" spans="1:5">
      <c r="A826" s="120"/>
      <c r="B826" s="120"/>
      <c r="C826" s="121"/>
      <c r="D826" s="120"/>
      <c r="E826" s="120"/>
    </row>
    <row r="827" spans="1:5">
      <c r="A827" s="120"/>
      <c r="B827" s="120"/>
      <c r="C827" s="121"/>
      <c r="D827" s="120"/>
      <c r="E827" s="120"/>
    </row>
    <row r="828" spans="1:5">
      <c r="A828" s="120"/>
      <c r="B828" s="120"/>
      <c r="C828" s="121"/>
      <c r="D828" s="120"/>
      <c r="E828" s="120"/>
    </row>
    <row r="829" spans="1:5">
      <c r="A829" s="120"/>
      <c r="B829" s="120"/>
      <c r="C829" s="121"/>
      <c r="D829" s="120"/>
      <c r="E829" s="120"/>
    </row>
    <row r="830" spans="1:5">
      <c r="A830" s="120"/>
      <c r="B830" s="120"/>
      <c r="C830" s="121"/>
      <c r="D830" s="120"/>
      <c r="E830" s="120"/>
    </row>
    <row r="831" spans="1:5">
      <c r="A831" s="120"/>
      <c r="B831" s="120"/>
      <c r="C831" s="121"/>
      <c r="D831" s="120"/>
      <c r="E831" s="120"/>
    </row>
    <row r="832" spans="1:5">
      <c r="A832" s="120"/>
      <c r="B832" s="120"/>
      <c r="C832" s="121"/>
      <c r="D832" s="120"/>
      <c r="E832" s="120"/>
    </row>
    <row r="833" spans="1:5">
      <c r="A833" s="120"/>
      <c r="B833" s="120"/>
      <c r="C833" s="121"/>
      <c r="D833" s="120"/>
      <c r="E833" s="120"/>
    </row>
    <row r="834" spans="1:5">
      <c r="A834" s="120"/>
      <c r="B834" s="120"/>
      <c r="C834" s="121"/>
      <c r="D834" s="120"/>
      <c r="E834" s="120"/>
    </row>
    <row r="835" spans="1:5">
      <c r="A835" s="120"/>
      <c r="B835" s="120"/>
      <c r="C835" s="121"/>
      <c r="D835" s="120"/>
      <c r="E835" s="120"/>
    </row>
    <row r="836" spans="1:5">
      <c r="A836" s="120"/>
      <c r="B836" s="120"/>
      <c r="C836" s="121"/>
      <c r="D836" s="120"/>
      <c r="E836" s="120"/>
    </row>
    <row r="837" spans="1:5">
      <c r="A837" s="120"/>
      <c r="B837" s="120"/>
      <c r="C837" s="121"/>
      <c r="D837" s="120"/>
      <c r="E837" s="120"/>
    </row>
    <row r="838" spans="1:5">
      <c r="A838" s="120"/>
      <c r="B838" s="120"/>
      <c r="C838" s="121"/>
      <c r="D838" s="120"/>
      <c r="E838" s="120"/>
    </row>
    <row r="839" spans="1:5">
      <c r="A839" s="120"/>
      <c r="B839" s="120"/>
      <c r="C839" s="121"/>
      <c r="D839" s="120"/>
      <c r="E839" s="120"/>
    </row>
    <row r="840" spans="1:5">
      <c r="A840" s="120"/>
      <c r="B840" s="120"/>
      <c r="C840" s="121"/>
      <c r="D840" s="120"/>
      <c r="E840" s="120"/>
    </row>
    <row r="841" spans="1:5">
      <c r="A841" s="120"/>
      <c r="B841" s="120"/>
      <c r="C841" s="121"/>
      <c r="D841" s="120"/>
      <c r="E841" s="120"/>
    </row>
    <row r="842" spans="1:5">
      <c r="A842" s="120"/>
      <c r="B842" s="120"/>
      <c r="C842" s="121"/>
      <c r="D842" s="120"/>
      <c r="E842" s="120"/>
    </row>
    <row r="843" spans="1:5">
      <c r="A843" s="120"/>
      <c r="B843" s="120"/>
      <c r="C843" s="121"/>
      <c r="D843" s="120"/>
      <c r="E843" s="120"/>
    </row>
    <row r="844" spans="1:5">
      <c r="A844" s="120"/>
      <c r="B844" s="120"/>
      <c r="C844" s="121"/>
      <c r="D844" s="120"/>
      <c r="E844" s="120"/>
    </row>
    <row r="845" spans="1:5">
      <c r="A845" s="120"/>
      <c r="B845" s="120"/>
      <c r="C845" s="121"/>
      <c r="D845" s="120"/>
      <c r="E845" s="120"/>
    </row>
    <row r="846" spans="1:5">
      <c r="A846" s="120"/>
      <c r="B846" s="120"/>
      <c r="C846" s="121"/>
      <c r="D846" s="120"/>
      <c r="E846" s="120"/>
    </row>
    <row r="847" spans="1:5">
      <c r="A847" s="120"/>
      <c r="B847" s="120"/>
      <c r="C847" s="121"/>
      <c r="D847" s="120"/>
      <c r="E847" s="120"/>
    </row>
    <row r="848" spans="1:5">
      <c r="A848" s="120"/>
      <c r="B848" s="120"/>
      <c r="C848" s="121"/>
      <c r="D848" s="120"/>
      <c r="E848" s="120"/>
    </row>
    <row r="849" spans="1:5">
      <c r="A849" s="120"/>
      <c r="B849" s="120"/>
      <c r="C849" s="121"/>
      <c r="D849" s="120"/>
      <c r="E849" s="120"/>
    </row>
    <row r="850" spans="1:5">
      <c r="A850" s="120"/>
      <c r="B850" s="120"/>
      <c r="C850" s="121"/>
      <c r="D850" s="120"/>
      <c r="E850" s="120"/>
    </row>
    <row r="851" spans="1:5">
      <c r="A851" s="120"/>
      <c r="B851" s="120"/>
      <c r="C851" s="121"/>
      <c r="D851" s="120"/>
      <c r="E851" s="120"/>
    </row>
    <row r="852" spans="1:5">
      <c r="A852" s="120"/>
      <c r="B852" s="120"/>
      <c r="C852" s="121"/>
      <c r="D852" s="120"/>
      <c r="E852" s="120"/>
    </row>
    <row r="853" spans="1:5">
      <c r="A853" s="120"/>
      <c r="B853" s="120"/>
      <c r="C853" s="121"/>
      <c r="D853" s="120"/>
      <c r="E853" s="120"/>
    </row>
    <row r="854" spans="1:5">
      <c r="A854" s="120"/>
      <c r="B854" s="120"/>
      <c r="C854" s="121"/>
      <c r="D854" s="120"/>
      <c r="E854" s="120"/>
    </row>
    <row r="855" spans="1:5">
      <c r="A855" s="120"/>
      <c r="B855" s="120"/>
      <c r="C855" s="121"/>
      <c r="D855" s="120"/>
      <c r="E855" s="120"/>
    </row>
    <row r="856" spans="1:5">
      <c r="A856" s="120"/>
      <c r="B856" s="120"/>
      <c r="C856" s="121"/>
      <c r="D856" s="120"/>
      <c r="E856" s="120"/>
    </row>
    <row r="857" spans="1:5">
      <c r="A857" s="120"/>
      <c r="B857" s="120"/>
      <c r="C857" s="121"/>
      <c r="D857" s="120"/>
      <c r="E857" s="120"/>
    </row>
    <row r="858" spans="1:5">
      <c r="A858" s="120"/>
      <c r="B858" s="120"/>
      <c r="C858" s="121"/>
      <c r="D858" s="120"/>
      <c r="E858" s="120"/>
    </row>
    <row r="859" spans="1:5">
      <c r="A859" s="120"/>
      <c r="B859" s="120"/>
      <c r="C859" s="121"/>
      <c r="D859" s="120"/>
      <c r="E859" s="120"/>
    </row>
    <row r="860" spans="1:5">
      <c r="A860" s="120"/>
      <c r="B860" s="120"/>
      <c r="C860" s="121"/>
      <c r="D860" s="120"/>
      <c r="E860" s="120"/>
    </row>
    <row r="861" spans="1:5">
      <c r="A861" s="120"/>
      <c r="B861" s="120"/>
      <c r="C861" s="121"/>
      <c r="D861" s="120"/>
      <c r="E861" s="120"/>
    </row>
    <row r="862" spans="1:5">
      <c r="A862" s="120"/>
      <c r="B862" s="120"/>
      <c r="C862" s="121"/>
      <c r="D862" s="120"/>
      <c r="E862" s="120"/>
    </row>
    <row r="863" spans="1:5">
      <c r="A863" s="120"/>
      <c r="B863" s="120"/>
      <c r="C863" s="121"/>
      <c r="D863" s="120"/>
      <c r="E863" s="120"/>
    </row>
    <row r="864" spans="1:5">
      <c r="A864" s="120"/>
      <c r="B864" s="120"/>
      <c r="C864" s="121"/>
      <c r="D864" s="120"/>
      <c r="E864" s="120"/>
    </row>
    <row r="865" spans="1:5">
      <c r="A865" s="120"/>
      <c r="B865" s="120"/>
      <c r="C865" s="121"/>
      <c r="D865" s="120"/>
      <c r="E865" s="120"/>
    </row>
    <row r="866" spans="1:5">
      <c r="A866" s="120"/>
      <c r="B866" s="120"/>
      <c r="C866" s="121"/>
      <c r="D866" s="120"/>
      <c r="E866" s="120"/>
    </row>
    <row r="867" spans="1:5">
      <c r="A867" s="120"/>
      <c r="B867" s="120"/>
      <c r="C867" s="121"/>
      <c r="D867" s="120"/>
      <c r="E867" s="120"/>
    </row>
    <row r="868" spans="1:5">
      <c r="A868" s="120"/>
      <c r="B868" s="120"/>
      <c r="C868" s="121"/>
      <c r="D868" s="120"/>
      <c r="E868" s="120"/>
    </row>
    <row r="869" spans="1:5">
      <c r="A869" s="120"/>
      <c r="B869" s="120"/>
      <c r="C869" s="121"/>
      <c r="D869" s="120"/>
      <c r="E869" s="120"/>
    </row>
    <row r="870" spans="1:5">
      <c r="A870" s="120"/>
      <c r="B870" s="120"/>
      <c r="C870" s="121"/>
      <c r="D870" s="120"/>
      <c r="E870" s="120"/>
    </row>
    <row r="871" spans="1:5">
      <c r="A871" s="120"/>
      <c r="B871" s="120"/>
      <c r="C871" s="121"/>
      <c r="D871" s="120"/>
      <c r="E871" s="120"/>
    </row>
    <row r="872" spans="1:5">
      <c r="A872" s="120"/>
      <c r="B872" s="120"/>
      <c r="C872" s="121"/>
      <c r="D872" s="120"/>
      <c r="E872" s="120"/>
    </row>
    <row r="873" spans="1:5">
      <c r="A873" s="120"/>
      <c r="B873" s="120"/>
      <c r="C873" s="121"/>
      <c r="D873" s="120"/>
      <c r="E873" s="120"/>
    </row>
    <row r="874" spans="1:5">
      <c r="A874" s="120"/>
      <c r="B874" s="120"/>
      <c r="C874" s="121"/>
      <c r="D874" s="120"/>
      <c r="E874" s="120"/>
    </row>
    <row r="875" spans="1:5">
      <c r="A875" s="120"/>
      <c r="B875" s="120"/>
      <c r="C875" s="121"/>
      <c r="D875" s="120"/>
      <c r="E875" s="120"/>
    </row>
    <row r="876" spans="1:5">
      <c r="A876" s="120"/>
      <c r="B876" s="120"/>
      <c r="C876" s="121"/>
      <c r="D876" s="120"/>
      <c r="E876" s="120"/>
    </row>
    <row r="877" spans="1:5">
      <c r="A877" s="120"/>
      <c r="B877" s="120"/>
      <c r="C877" s="121"/>
      <c r="D877" s="120"/>
      <c r="E877" s="120"/>
    </row>
    <row r="878" spans="1:5">
      <c r="A878" s="120"/>
      <c r="B878" s="120"/>
      <c r="C878" s="121"/>
      <c r="D878" s="120"/>
      <c r="E878" s="120"/>
    </row>
    <row r="879" spans="1:5">
      <c r="A879" s="120"/>
      <c r="B879" s="120"/>
      <c r="C879" s="121"/>
      <c r="D879" s="120"/>
      <c r="E879" s="120"/>
    </row>
    <row r="880" spans="1:5">
      <c r="A880" s="120"/>
      <c r="B880" s="120"/>
      <c r="C880" s="121"/>
      <c r="D880" s="120"/>
      <c r="E880" s="120"/>
    </row>
    <row r="881" spans="1:5">
      <c r="A881" s="120"/>
      <c r="B881" s="120"/>
      <c r="C881" s="121"/>
      <c r="D881" s="120"/>
      <c r="E881" s="120"/>
    </row>
    <row r="882" spans="1:5">
      <c r="A882" s="120"/>
      <c r="B882" s="120"/>
      <c r="C882" s="121"/>
      <c r="D882" s="120"/>
      <c r="E882" s="120"/>
    </row>
    <row r="883" spans="1:5">
      <c r="A883" s="120"/>
      <c r="B883" s="120"/>
      <c r="C883" s="121"/>
      <c r="D883" s="120"/>
      <c r="E883" s="120"/>
    </row>
    <row r="884" spans="1:5">
      <c r="A884" s="120"/>
      <c r="B884" s="120"/>
      <c r="C884" s="121"/>
      <c r="D884" s="120"/>
      <c r="E884" s="120"/>
    </row>
    <row r="885" spans="1:5">
      <c r="A885" s="120"/>
      <c r="B885" s="120"/>
      <c r="C885" s="121"/>
      <c r="D885" s="120"/>
      <c r="E885" s="120"/>
    </row>
    <row r="886" spans="1:5">
      <c r="A886" s="120"/>
      <c r="B886" s="120"/>
      <c r="C886" s="121"/>
      <c r="D886" s="120"/>
      <c r="E886" s="120"/>
    </row>
    <row r="887" spans="1:5">
      <c r="A887" s="120"/>
      <c r="B887" s="120"/>
      <c r="C887" s="121"/>
      <c r="D887" s="120"/>
      <c r="E887" s="120"/>
    </row>
    <row r="888" spans="1:5">
      <c r="A888" s="120"/>
      <c r="B888" s="120"/>
      <c r="C888" s="121"/>
      <c r="D888" s="120"/>
      <c r="E888" s="120"/>
    </row>
    <row r="889" spans="1:5">
      <c r="A889" s="120"/>
      <c r="B889" s="120"/>
      <c r="C889" s="121"/>
      <c r="D889" s="120"/>
      <c r="E889" s="120"/>
    </row>
    <row r="890" spans="1:5">
      <c r="A890" s="120"/>
      <c r="B890" s="120"/>
      <c r="C890" s="121"/>
      <c r="D890" s="120"/>
      <c r="E890" s="120"/>
    </row>
    <row r="891" spans="1:5">
      <c r="A891" s="120"/>
      <c r="B891" s="120"/>
      <c r="C891" s="121"/>
      <c r="D891" s="120"/>
      <c r="E891" s="120"/>
    </row>
    <row r="892" spans="1:5">
      <c r="A892" s="120"/>
      <c r="B892" s="120"/>
      <c r="C892" s="121"/>
      <c r="D892" s="120"/>
      <c r="E892" s="120"/>
    </row>
    <row r="893" spans="1:5">
      <c r="A893" s="120"/>
      <c r="B893" s="120"/>
      <c r="C893" s="121"/>
      <c r="D893" s="120"/>
      <c r="E893" s="120"/>
    </row>
    <row r="894" spans="1:5">
      <c r="A894" s="120"/>
      <c r="B894" s="120"/>
      <c r="C894" s="121"/>
      <c r="D894" s="120"/>
      <c r="E894" s="120"/>
    </row>
    <row r="895" spans="1:5">
      <c r="A895" s="120"/>
      <c r="B895" s="120"/>
      <c r="C895" s="121"/>
      <c r="D895" s="120"/>
      <c r="E895" s="120"/>
    </row>
    <row r="896" spans="1:5">
      <c r="A896" s="120"/>
      <c r="B896" s="120"/>
      <c r="C896" s="121"/>
      <c r="D896" s="120"/>
      <c r="E896" s="120"/>
    </row>
    <row r="897" spans="1:5">
      <c r="A897" s="120"/>
      <c r="B897" s="120"/>
      <c r="C897" s="121"/>
      <c r="D897" s="120"/>
      <c r="E897" s="120"/>
    </row>
    <row r="898" spans="1:5">
      <c r="A898" s="120"/>
      <c r="B898" s="120"/>
      <c r="C898" s="121"/>
      <c r="D898" s="120"/>
      <c r="E898" s="120"/>
    </row>
    <row r="899" spans="1:5">
      <c r="A899" s="120"/>
      <c r="B899" s="120"/>
      <c r="C899" s="121"/>
      <c r="D899" s="120"/>
      <c r="E899" s="120"/>
    </row>
    <row r="900" spans="1:5">
      <c r="A900" s="120"/>
      <c r="B900" s="120"/>
      <c r="C900" s="121"/>
      <c r="D900" s="120"/>
      <c r="E900" s="120"/>
    </row>
    <row r="901" spans="1:5">
      <c r="A901" s="120"/>
      <c r="B901" s="120"/>
      <c r="C901" s="121"/>
      <c r="D901" s="120"/>
      <c r="E901" s="120"/>
    </row>
    <row r="902" spans="1:5">
      <c r="A902" s="120"/>
      <c r="B902" s="120"/>
      <c r="C902" s="121"/>
      <c r="D902" s="120"/>
      <c r="E902" s="120"/>
    </row>
    <row r="903" spans="1:5">
      <c r="A903" s="120"/>
      <c r="B903" s="120"/>
      <c r="C903" s="121"/>
      <c r="D903" s="120"/>
      <c r="E903" s="120"/>
    </row>
    <row r="904" spans="1:5">
      <c r="A904" s="120"/>
      <c r="B904" s="120"/>
      <c r="C904" s="121"/>
      <c r="D904" s="120"/>
      <c r="E904" s="120"/>
    </row>
    <row r="905" spans="1:5">
      <c r="A905" s="120"/>
      <c r="B905" s="120"/>
      <c r="C905" s="121"/>
      <c r="D905" s="120"/>
      <c r="E905" s="120"/>
    </row>
    <row r="906" spans="1:5">
      <c r="A906" s="120"/>
      <c r="B906" s="120"/>
      <c r="C906" s="121"/>
      <c r="D906" s="120"/>
      <c r="E906" s="120"/>
    </row>
    <row r="907" spans="1:5">
      <c r="A907" s="120"/>
      <c r="B907" s="120"/>
      <c r="C907" s="121"/>
      <c r="D907" s="120"/>
      <c r="E907" s="120"/>
    </row>
    <row r="908" spans="1:5">
      <c r="A908" s="120"/>
      <c r="B908" s="120"/>
      <c r="C908" s="121"/>
      <c r="D908" s="120"/>
      <c r="E908" s="120"/>
    </row>
    <row r="909" spans="1:5">
      <c r="A909" s="120"/>
      <c r="B909" s="120"/>
      <c r="C909" s="121"/>
      <c r="D909" s="120"/>
      <c r="E909" s="120"/>
    </row>
    <row r="910" spans="1:5">
      <c r="A910" s="120"/>
      <c r="B910" s="120"/>
      <c r="C910" s="121"/>
      <c r="D910" s="120"/>
      <c r="E910" s="120"/>
    </row>
    <row r="911" spans="1:5">
      <c r="A911" s="120"/>
      <c r="B911" s="120"/>
      <c r="C911" s="121"/>
      <c r="D911" s="120"/>
      <c r="E911" s="120"/>
    </row>
    <row r="912" spans="1:5">
      <c r="A912" s="120"/>
      <c r="B912" s="120"/>
      <c r="C912" s="121"/>
      <c r="D912" s="120"/>
      <c r="E912" s="120"/>
    </row>
    <row r="913" spans="1:5">
      <c r="A913" s="120"/>
      <c r="B913" s="120"/>
      <c r="C913" s="121"/>
      <c r="D913" s="120"/>
      <c r="E913" s="120"/>
    </row>
    <row r="914" spans="1:5">
      <c r="A914" s="120"/>
      <c r="B914" s="120"/>
      <c r="C914" s="121"/>
      <c r="D914" s="120"/>
      <c r="E914" s="120"/>
    </row>
    <row r="915" spans="1:5">
      <c r="A915" s="120"/>
      <c r="B915" s="120"/>
      <c r="C915" s="121"/>
      <c r="D915" s="120"/>
      <c r="E915" s="120"/>
    </row>
    <row r="916" spans="1:5">
      <c r="A916" s="120"/>
      <c r="B916" s="120"/>
      <c r="C916" s="121"/>
      <c r="D916" s="120"/>
      <c r="E916" s="120"/>
    </row>
    <row r="917" spans="1:5">
      <c r="A917" s="120"/>
      <c r="B917" s="120"/>
      <c r="C917" s="121"/>
      <c r="D917" s="120"/>
      <c r="E917" s="120"/>
    </row>
    <row r="918" spans="1:5">
      <c r="A918" s="120"/>
      <c r="B918" s="120"/>
      <c r="C918" s="121"/>
      <c r="D918" s="120"/>
      <c r="E918" s="120"/>
    </row>
    <row r="919" spans="1:5">
      <c r="A919" s="120"/>
      <c r="B919" s="120"/>
      <c r="C919" s="121"/>
      <c r="D919" s="120"/>
      <c r="E919" s="120"/>
    </row>
    <row r="920" spans="1:5">
      <c r="A920" s="120"/>
      <c r="B920" s="120"/>
      <c r="C920" s="121"/>
      <c r="D920" s="120"/>
      <c r="E920" s="120"/>
    </row>
    <row r="921" spans="1:5">
      <c r="A921" s="120"/>
      <c r="B921" s="120"/>
      <c r="C921" s="121"/>
      <c r="D921" s="120"/>
      <c r="E921" s="120"/>
    </row>
    <row r="922" spans="1:5">
      <c r="A922" s="120"/>
      <c r="B922" s="120"/>
      <c r="C922" s="121"/>
      <c r="D922" s="120"/>
      <c r="E922" s="120"/>
    </row>
    <row r="923" spans="1:5">
      <c r="A923" s="120"/>
      <c r="B923" s="120"/>
      <c r="C923" s="121"/>
      <c r="D923" s="120"/>
      <c r="E923" s="120"/>
    </row>
    <row r="924" spans="1:5">
      <c r="A924" s="120"/>
      <c r="B924" s="120"/>
      <c r="C924" s="121"/>
      <c r="D924" s="120"/>
      <c r="E924" s="120"/>
    </row>
    <row r="925" spans="1:5">
      <c r="A925" s="120"/>
      <c r="B925" s="120"/>
      <c r="C925" s="121"/>
      <c r="D925" s="120"/>
      <c r="E925" s="120"/>
    </row>
    <row r="926" spans="1:5">
      <c r="A926" s="120"/>
      <c r="B926" s="120"/>
      <c r="C926" s="121"/>
      <c r="D926" s="120"/>
      <c r="E926" s="120"/>
    </row>
    <row r="927" spans="1:5">
      <c r="A927" s="120"/>
      <c r="B927" s="120"/>
      <c r="C927" s="121"/>
      <c r="D927" s="120"/>
      <c r="E927" s="120"/>
    </row>
    <row r="928" spans="1:5">
      <c r="A928" s="120"/>
      <c r="B928" s="120"/>
      <c r="C928" s="121"/>
      <c r="D928" s="120"/>
      <c r="E928" s="120"/>
    </row>
    <row r="929" spans="1:5">
      <c r="A929" s="120"/>
      <c r="B929" s="120"/>
      <c r="C929" s="121"/>
      <c r="D929" s="120"/>
      <c r="E929" s="120"/>
    </row>
    <row r="930" spans="1:5">
      <c r="A930" s="120"/>
      <c r="B930" s="120"/>
      <c r="C930" s="121"/>
      <c r="D930" s="120"/>
      <c r="E930" s="120"/>
    </row>
    <row r="931" spans="1:5">
      <c r="A931" s="120"/>
      <c r="B931" s="120"/>
      <c r="C931" s="121"/>
      <c r="D931" s="120"/>
      <c r="E931" s="120"/>
    </row>
    <row r="932" spans="1:5">
      <c r="A932" s="120"/>
      <c r="B932" s="120"/>
      <c r="C932" s="121"/>
      <c r="D932" s="120"/>
      <c r="E932" s="120"/>
    </row>
    <row r="933" spans="1:5">
      <c r="A933" s="120"/>
      <c r="B933" s="120"/>
      <c r="C933" s="121"/>
      <c r="D933" s="120"/>
      <c r="E933" s="120"/>
    </row>
    <row r="934" spans="1:5">
      <c r="A934" s="120"/>
      <c r="B934" s="120"/>
      <c r="C934" s="121"/>
      <c r="D934" s="120"/>
      <c r="E934" s="120"/>
    </row>
    <row r="935" spans="1:5">
      <c r="A935" s="120"/>
      <c r="B935" s="120"/>
      <c r="C935" s="121"/>
      <c r="D935" s="120"/>
      <c r="E935" s="120"/>
    </row>
    <row r="936" spans="1:5">
      <c r="A936" s="120"/>
      <c r="B936" s="120"/>
      <c r="C936" s="121"/>
      <c r="D936" s="120"/>
      <c r="E936" s="120"/>
    </row>
    <row r="937" spans="1:5">
      <c r="A937" s="120"/>
      <c r="B937" s="120"/>
      <c r="C937" s="121"/>
      <c r="D937" s="120"/>
      <c r="E937" s="120"/>
    </row>
    <row r="938" spans="1:5">
      <c r="A938" s="120"/>
      <c r="B938" s="120"/>
      <c r="C938" s="121"/>
      <c r="D938" s="120"/>
      <c r="E938" s="120"/>
    </row>
    <row r="939" spans="1:5">
      <c r="A939" s="120"/>
      <c r="B939" s="120"/>
      <c r="C939" s="121"/>
      <c r="D939" s="120"/>
      <c r="E939" s="120"/>
    </row>
    <row r="940" spans="1:5">
      <c r="A940" s="120"/>
      <c r="B940" s="120"/>
      <c r="C940" s="121"/>
      <c r="D940" s="120"/>
      <c r="E940" s="120"/>
    </row>
    <row r="941" spans="1:5">
      <c r="A941" s="120"/>
      <c r="B941" s="120"/>
      <c r="C941" s="121"/>
      <c r="D941" s="120"/>
      <c r="E941" s="120"/>
    </row>
    <row r="942" spans="1:5">
      <c r="A942" s="120"/>
      <c r="B942" s="120"/>
      <c r="C942" s="121"/>
      <c r="D942" s="120"/>
      <c r="E942" s="120"/>
    </row>
    <row r="943" spans="1:5">
      <c r="A943" s="120"/>
      <c r="B943" s="120"/>
      <c r="C943" s="121"/>
      <c r="D943" s="120"/>
      <c r="E943" s="120"/>
    </row>
    <row r="944" spans="1:5">
      <c r="A944" s="120"/>
      <c r="B944" s="120"/>
      <c r="C944" s="121"/>
      <c r="D944" s="120"/>
      <c r="E944" s="120"/>
    </row>
    <row r="945" spans="1:5">
      <c r="A945" s="120"/>
      <c r="B945" s="120"/>
      <c r="C945" s="121"/>
      <c r="D945" s="120"/>
      <c r="E945" s="120"/>
    </row>
    <row r="946" spans="1:5">
      <c r="A946" s="120"/>
      <c r="B946" s="120"/>
      <c r="C946" s="121"/>
      <c r="D946" s="120"/>
      <c r="E946" s="120"/>
    </row>
    <row r="947" spans="1:5">
      <c r="A947" s="120"/>
      <c r="B947" s="120"/>
      <c r="C947" s="121"/>
      <c r="D947" s="120"/>
      <c r="E947" s="120"/>
    </row>
    <row r="948" spans="1:5">
      <c r="A948" s="120"/>
      <c r="B948" s="120"/>
      <c r="C948" s="121"/>
      <c r="D948" s="120"/>
      <c r="E948" s="120"/>
    </row>
    <row r="949" spans="1:5">
      <c r="A949" s="120"/>
      <c r="B949" s="120"/>
      <c r="C949" s="121"/>
      <c r="D949" s="120"/>
      <c r="E949" s="120"/>
    </row>
    <row r="950" spans="1:5">
      <c r="A950" s="120"/>
      <c r="B950" s="120"/>
      <c r="C950" s="121"/>
      <c r="D950" s="120"/>
      <c r="E950" s="120"/>
    </row>
    <row r="951" spans="1:5">
      <c r="A951" s="120"/>
      <c r="B951" s="120"/>
      <c r="C951" s="121"/>
      <c r="D951" s="120"/>
      <c r="E951" s="120"/>
    </row>
    <row r="952" spans="1:5">
      <c r="A952" s="120"/>
      <c r="B952" s="120"/>
      <c r="C952" s="121"/>
      <c r="D952" s="120"/>
      <c r="E952" s="120"/>
    </row>
    <row r="953" spans="1:5">
      <c r="A953" s="120"/>
      <c r="B953" s="120"/>
      <c r="C953" s="121"/>
      <c r="D953" s="120"/>
      <c r="E953" s="120"/>
    </row>
    <row r="954" spans="1:5">
      <c r="A954" s="120"/>
      <c r="B954" s="120"/>
      <c r="C954" s="121"/>
      <c r="D954" s="120"/>
      <c r="E954" s="120"/>
    </row>
    <row r="955" spans="1:5">
      <c r="A955" s="120"/>
      <c r="B955" s="120"/>
      <c r="C955" s="121"/>
      <c r="D955" s="120"/>
      <c r="E955" s="120"/>
    </row>
    <row r="956" spans="1:5">
      <c r="A956" s="120"/>
      <c r="B956" s="120"/>
      <c r="C956" s="121"/>
      <c r="D956" s="120"/>
      <c r="E956" s="120"/>
    </row>
    <row r="957" spans="1:5">
      <c r="A957" s="120"/>
      <c r="B957" s="120"/>
      <c r="C957" s="121"/>
      <c r="D957" s="120"/>
      <c r="E957" s="120"/>
    </row>
    <row r="958" spans="1:5">
      <c r="A958" s="120"/>
      <c r="B958" s="120"/>
      <c r="C958" s="121"/>
      <c r="D958" s="120"/>
      <c r="E958" s="120"/>
    </row>
    <row r="959" spans="1:5">
      <c r="A959" s="120"/>
      <c r="B959" s="120"/>
      <c r="C959" s="121"/>
      <c r="D959" s="120"/>
      <c r="E959" s="120"/>
    </row>
    <row r="960" spans="1:5">
      <c r="A960" s="120"/>
      <c r="B960" s="120"/>
      <c r="C960" s="121"/>
      <c r="D960" s="120"/>
      <c r="E960" s="120"/>
    </row>
    <row r="961" spans="1:5">
      <c r="A961" s="120"/>
      <c r="B961" s="120"/>
      <c r="C961" s="121"/>
      <c r="D961" s="120"/>
      <c r="E961" s="120"/>
    </row>
    <row r="962" spans="1:5">
      <c r="A962" s="120"/>
      <c r="B962" s="120"/>
      <c r="C962" s="121"/>
      <c r="D962" s="120"/>
      <c r="E962" s="120"/>
    </row>
    <row r="963" spans="1:5">
      <c r="A963" s="120"/>
      <c r="B963" s="120"/>
      <c r="C963" s="121"/>
      <c r="D963" s="120"/>
      <c r="E963" s="120"/>
    </row>
    <row r="964" spans="1:5">
      <c r="A964" s="120"/>
      <c r="B964" s="120"/>
      <c r="C964" s="121"/>
      <c r="D964" s="120"/>
      <c r="E964" s="120"/>
    </row>
    <row r="965" spans="1:5">
      <c r="A965" s="120"/>
      <c r="B965" s="120"/>
      <c r="C965" s="121"/>
      <c r="D965" s="120"/>
      <c r="E965" s="120"/>
    </row>
    <row r="966" spans="1:5">
      <c r="A966" s="120"/>
      <c r="B966" s="120"/>
      <c r="C966" s="121"/>
      <c r="D966" s="120"/>
      <c r="E966" s="120"/>
    </row>
    <row r="967" spans="1:5">
      <c r="A967" s="120"/>
      <c r="B967" s="120"/>
      <c r="C967" s="121"/>
      <c r="D967" s="120"/>
      <c r="E967" s="120"/>
    </row>
    <row r="968" spans="1:5">
      <c r="A968" s="120"/>
      <c r="B968" s="120"/>
      <c r="C968" s="121"/>
      <c r="D968" s="120"/>
      <c r="E968" s="120"/>
    </row>
    <row r="969" spans="1:5">
      <c r="A969" s="120"/>
      <c r="B969" s="120"/>
      <c r="C969" s="121"/>
      <c r="D969" s="120"/>
      <c r="E969" s="120"/>
    </row>
    <row r="970" spans="1:5">
      <c r="A970" s="120"/>
      <c r="B970" s="120"/>
      <c r="C970" s="121"/>
      <c r="D970" s="120"/>
      <c r="E970" s="120"/>
    </row>
    <row r="971" spans="1:5">
      <c r="A971" s="120"/>
      <c r="B971" s="120"/>
      <c r="C971" s="121"/>
      <c r="D971" s="120"/>
      <c r="E971" s="120"/>
    </row>
    <row r="972" spans="1:5">
      <c r="A972" s="120"/>
      <c r="B972" s="120"/>
      <c r="C972" s="121"/>
      <c r="D972" s="120"/>
      <c r="E972" s="120"/>
    </row>
    <row r="973" spans="1:5">
      <c r="A973" s="120"/>
      <c r="B973" s="120"/>
      <c r="C973" s="121"/>
      <c r="D973" s="120"/>
      <c r="E973" s="120"/>
    </row>
    <row r="974" spans="1:5">
      <c r="A974" s="120"/>
      <c r="B974" s="120"/>
      <c r="C974" s="121"/>
      <c r="D974" s="120"/>
      <c r="E974" s="120"/>
    </row>
    <row r="975" spans="1:5">
      <c r="A975" s="120"/>
      <c r="B975" s="120"/>
      <c r="C975" s="121"/>
      <c r="D975" s="120"/>
      <c r="E975" s="120"/>
    </row>
    <row r="976" spans="1:5">
      <c r="A976" s="120"/>
      <c r="B976" s="120"/>
      <c r="C976" s="121"/>
      <c r="D976" s="120"/>
      <c r="E976" s="120"/>
    </row>
    <row r="977" spans="1:5">
      <c r="A977" s="120"/>
      <c r="B977" s="120"/>
      <c r="C977" s="121"/>
      <c r="D977" s="120"/>
      <c r="E977" s="120"/>
    </row>
    <row r="978" spans="1:5">
      <c r="A978" s="120"/>
      <c r="B978" s="120"/>
      <c r="C978" s="121"/>
      <c r="D978" s="120"/>
      <c r="E978" s="120"/>
    </row>
    <row r="979" spans="1:5">
      <c r="A979" s="120"/>
      <c r="B979" s="120"/>
      <c r="C979" s="121"/>
      <c r="D979" s="120"/>
      <c r="E979" s="120"/>
    </row>
    <row r="980" spans="1:5">
      <c r="A980" s="120"/>
      <c r="B980" s="120"/>
      <c r="C980" s="121"/>
      <c r="D980" s="120"/>
      <c r="E980" s="120"/>
    </row>
    <row r="981" spans="1:5">
      <c r="A981" s="120"/>
      <c r="B981" s="120"/>
      <c r="C981" s="121"/>
      <c r="D981" s="120"/>
      <c r="E981" s="120"/>
    </row>
    <row r="982" spans="1:5">
      <c r="A982" s="120"/>
      <c r="B982" s="120"/>
      <c r="C982" s="121"/>
      <c r="D982" s="120"/>
      <c r="E982" s="120"/>
    </row>
    <row r="983" spans="1:5">
      <c r="A983" s="120"/>
      <c r="B983" s="120"/>
      <c r="C983" s="121"/>
      <c r="D983" s="120"/>
      <c r="E983" s="120"/>
    </row>
    <row r="984" spans="1:5">
      <c r="A984" s="120"/>
      <c r="B984" s="120"/>
      <c r="C984" s="121"/>
      <c r="D984" s="120"/>
      <c r="E984" s="120"/>
    </row>
    <row r="985" spans="1:5">
      <c r="A985" s="120"/>
      <c r="B985" s="120"/>
      <c r="C985" s="121"/>
      <c r="D985" s="120"/>
      <c r="E985" s="120"/>
    </row>
    <row r="986" spans="1:5">
      <c r="A986" s="120"/>
      <c r="B986" s="120"/>
      <c r="C986" s="121"/>
      <c r="D986" s="120"/>
      <c r="E986" s="120"/>
    </row>
    <row r="987" spans="1:5">
      <c r="A987" s="120"/>
      <c r="B987" s="120"/>
      <c r="C987" s="121"/>
      <c r="D987" s="120"/>
      <c r="E987" s="120"/>
    </row>
    <row r="988" spans="1:5">
      <c r="A988" s="120"/>
      <c r="B988" s="120"/>
      <c r="C988" s="121"/>
      <c r="D988" s="120"/>
      <c r="E988" s="120"/>
    </row>
    <row r="989" spans="1:5">
      <c r="A989" s="120"/>
      <c r="B989" s="120"/>
      <c r="C989" s="121"/>
      <c r="D989" s="120"/>
      <c r="E989" s="120"/>
    </row>
    <row r="990" spans="1:5">
      <c r="A990" s="120"/>
      <c r="B990" s="120"/>
      <c r="C990" s="121"/>
      <c r="D990" s="120"/>
      <c r="E990" s="120"/>
    </row>
    <row r="991" spans="1:5">
      <c r="A991" s="120"/>
      <c r="B991" s="120"/>
      <c r="C991" s="121"/>
      <c r="D991" s="120"/>
      <c r="E991" s="120"/>
    </row>
    <row r="992" spans="1:5">
      <c r="A992" s="120"/>
      <c r="B992" s="120"/>
      <c r="C992" s="121"/>
      <c r="D992" s="120"/>
      <c r="E992" s="120"/>
    </row>
    <row r="993" spans="1:5">
      <c r="A993" s="120"/>
      <c r="B993" s="120"/>
      <c r="C993" s="121"/>
      <c r="D993" s="120"/>
      <c r="E993" s="120"/>
    </row>
    <row r="994" spans="1:5">
      <c r="A994" s="120"/>
      <c r="B994" s="120"/>
      <c r="C994" s="121"/>
      <c r="D994" s="120"/>
      <c r="E994" s="120"/>
    </row>
    <row r="995" spans="1:5">
      <c r="A995" s="120"/>
      <c r="B995" s="120"/>
      <c r="C995" s="121"/>
      <c r="D995" s="120"/>
      <c r="E995" s="120"/>
    </row>
    <row r="996" spans="1:5">
      <c r="A996" s="120"/>
      <c r="B996" s="120"/>
      <c r="C996" s="121"/>
      <c r="D996" s="120"/>
      <c r="E996" s="120"/>
    </row>
    <row r="997" spans="1:5">
      <c r="A997" s="120"/>
      <c r="B997" s="120"/>
      <c r="C997" s="121"/>
      <c r="D997" s="120"/>
      <c r="E997" s="120"/>
    </row>
    <row r="998" spans="1:5">
      <c r="A998" s="120"/>
      <c r="B998" s="120"/>
      <c r="C998" s="121"/>
      <c r="D998" s="120"/>
      <c r="E998" s="120"/>
    </row>
    <row r="999" spans="1:5">
      <c r="A999" s="120"/>
      <c r="B999" s="120"/>
      <c r="C999" s="121"/>
      <c r="D999" s="120"/>
      <c r="E999" s="120"/>
    </row>
    <row r="1000" spans="1:5">
      <c r="A1000" s="120"/>
      <c r="B1000" s="120"/>
      <c r="C1000" s="121"/>
      <c r="D1000" s="120"/>
      <c r="E1000" s="120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6"/>
  <sheetViews>
    <sheetView workbookViewId="0">
      <selection sqref="A1:B1"/>
    </sheetView>
  </sheetViews>
  <sheetFormatPr defaultColWidth="12.5703125" defaultRowHeight="15.75" customHeight="1"/>
  <cols>
    <col min="2" max="2" width="33.5703125" customWidth="1"/>
    <col min="3" max="3" width="14.28515625" customWidth="1"/>
    <col min="4" max="4" width="37.42578125" customWidth="1"/>
  </cols>
  <sheetData>
    <row r="1" spans="1:27" ht="81" customHeight="1">
      <c r="A1" s="155" t="s">
        <v>2188</v>
      </c>
      <c r="B1" s="141"/>
      <c r="C1" s="122"/>
      <c r="D1" s="51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12.75">
      <c r="A2" s="116" t="s">
        <v>304</v>
      </c>
      <c r="B2" s="116" t="s">
        <v>724</v>
      </c>
      <c r="C2" s="116" t="s">
        <v>2</v>
      </c>
      <c r="D2" s="51" t="s">
        <v>2189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2.75">
      <c r="A3" s="12" t="s">
        <v>168</v>
      </c>
      <c r="B3" s="12" t="s">
        <v>2190</v>
      </c>
      <c r="C3" s="12" t="s">
        <v>2191</v>
      </c>
      <c r="D3" s="12" t="s">
        <v>2192</v>
      </c>
    </row>
    <row r="4" spans="1:27" ht="12.75">
      <c r="C4" s="12"/>
    </row>
    <row r="5" spans="1:27" ht="12.75">
      <c r="C5" s="12"/>
    </row>
    <row r="6" spans="1:27" ht="12.75">
      <c r="C6" s="12"/>
    </row>
    <row r="7" spans="1:27" ht="12.75">
      <c r="C7" s="12"/>
    </row>
    <row r="8" spans="1:27" ht="12.75">
      <c r="C8" s="12"/>
    </row>
    <row r="9" spans="1:27" ht="12.75">
      <c r="C9" s="12"/>
    </row>
    <row r="10" spans="1:27" ht="12.75">
      <c r="C10" s="12"/>
    </row>
    <row r="11" spans="1:27" ht="12.75">
      <c r="C11" s="12"/>
    </row>
    <row r="12" spans="1:27" ht="12.75">
      <c r="C12" s="12"/>
    </row>
    <row r="13" spans="1:27" ht="12.75">
      <c r="C13" s="12"/>
    </row>
    <row r="14" spans="1:27" ht="12.75">
      <c r="C14" s="12"/>
    </row>
    <row r="15" spans="1:27" ht="12.75">
      <c r="C15" s="12"/>
    </row>
    <row r="16" spans="1:27" ht="12.75">
      <c r="C16" s="12"/>
    </row>
    <row r="17" spans="3:3" ht="12.75">
      <c r="C17" s="12"/>
    </row>
    <row r="18" spans="3:3" ht="12.75">
      <c r="C18" s="12"/>
    </row>
    <row r="19" spans="3:3" ht="12.75">
      <c r="C19" s="12"/>
    </row>
    <row r="20" spans="3:3" ht="12.75">
      <c r="C20" s="12"/>
    </row>
    <row r="21" spans="3:3" ht="12.75">
      <c r="C21" s="12"/>
    </row>
    <row r="22" spans="3:3" ht="12.75">
      <c r="C22" s="12"/>
    </row>
    <row r="23" spans="3:3" ht="12.75">
      <c r="C23" s="12"/>
    </row>
    <row r="24" spans="3:3" ht="12.75">
      <c r="C24" s="12"/>
    </row>
    <row r="25" spans="3:3" ht="12.75">
      <c r="C25" s="12"/>
    </row>
    <row r="26" spans="3:3" ht="12.75">
      <c r="C26" s="12"/>
    </row>
    <row r="27" spans="3:3" ht="12.75">
      <c r="C27" s="12"/>
    </row>
    <row r="28" spans="3:3" ht="12.75">
      <c r="C28" s="12"/>
    </row>
    <row r="29" spans="3:3" ht="12.75">
      <c r="C29" s="12"/>
    </row>
    <row r="30" spans="3:3" ht="12.75">
      <c r="C30" s="12"/>
    </row>
    <row r="31" spans="3:3" ht="12.75">
      <c r="C31" s="12"/>
    </row>
    <row r="32" spans="3:3" ht="12.75">
      <c r="C32" s="12"/>
    </row>
    <row r="33" spans="3:3" ht="12.75">
      <c r="C33" s="12"/>
    </row>
    <row r="34" spans="3:3" ht="12.75">
      <c r="C34" s="12"/>
    </row>
    <row r="35" spans="3:3" ht="12.75">
      <c r="C35" s="12"/>
    </row>
    <row r="36" spans="3:3" ht="12.75">
      <c r="C36" s="12"/>
    </row>
    <row r="37" spans="3:3" ht="12.75">
      <c r="C37" s="12"/>
    </row>
    <row r="38" spans="3:3" ht="12.75">
      <c r="C38" s="12"/>
    </row>
    <row r="39" spans="3:3" ht="12.75">
      <c r="C39" s="12"/>
    </row>
    <row r="40" spans="3:3" ht="12.75">
      <c r="C40" s="12"/>
    </row>
    <row r="41" spans="3:3" ht="12.75">
      <c r="C41" s="12"/>
    </row>
    <row r="42" spans="3:3" ht="12.75">
      <c r="C42" s="12"/>
    </row>
    <row r="43" spans="3:3" ht="12.75">
      <c r="C43" s="12"/>
    </row>
    <row r="44" spans="3:3" ht="12.75">
      <c r="C44" s="12"/>
    </row>
    <row r="45" spans="3:3" ht="12.75">
      <c r="C45" s="12"/>
    </row>
    <row r="46" spans="3:3" ht="12.75">
      <c r="C46" s="12"/>
    </row>
    <row r="47" spans="3:3" ht="12.75">
      <c r="C47" s="12"/>
    </row>
    <row r="48" spans="3:3" ht="12.75">
      <c r="C48" s="12"/>
    </row>
    <row r="49" spans="3:3" ht="12.75">
      <c r="C49" s="12"/>
    </row>
    <row r="50" spans="3:3" ht="12.75">
      <c r="C50" s="12"/>
    </row>
    <row r="51" spans="3:3" ht="12.75">
      <c r="C51" s="12"/>
    </row>
    <row r="52" spans="3:3" ht="12.75">
      <c r="C52" s="12"/>
    </row>
    <row r="53" spans="3:3" ht="12.75">
      <c r="C53" s="12"/>
    </row>
    <row r="54" spans="3:3" ht="12.75">
      <c r="C54" s="12"/>
    </row>
    <row r="55" spans="3:3" ht="12.75">
      <c r="C55" s="12"/>
    </row>
    <row r="56" spans="3:3" ht="12.75">
      <c r="C56" s="12"/>
    </row>
    <row r="57" spans="3:3" ht="12.75">
      <c r="C57" s="12"/>
    </row>
    <row r="58" spans="3:3" ht="12.75">
      <c r="C58" s="12"/>
    </row>
    <row r="59" spans="3:3" ht="12.75">
      <c r="C59" s="12"/>
    </row>
    <row r="60" spans="3:3" ht="12.75">
      <c r="C60" s="12"/>
    </row>
    <row r="61" spans="3:3" ht="12.75">
      <c r="C61" s="12"/>
    </row>
    <row r="62" spans="3:3" ht="12.75">
      <c r="C62" s="12"/>
    </row>
    <row r="63" spans="3:3" ht="12.75">
      <c r="C63" s="12"/>
    </row>
    <row r="64" spans="3:3" ht="12.75">
      <c r="C64" s="12"/>
    </row>
    <row r="65" spans="3:3" ht="12.75">
      <c r="C65" s="12"/>
    </row>
    <row r="66" spans="3:3" ht="12.75">
      <c r="C66" s="12"/>
    </row>
  </sheetData>
  <mergeCells count="1">
    <mergeCell ref="A1:B1"/>
  </mergeCells>
  <dataValidations count="1">
    <dataValidation type="list" allowBlank="1" showErrorMessage="1" sqref="C3:C66">
      <formula1>"Introdutório,Transversal"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2" max="2" width="68" customWidth="1"/>
  </cols>
  <sheetData>
    <row r="1" spans="1:26">
      <c r="A1" s="114" t="s">
        <v>304</v>
      </c>
      <c r="B1" s="54" t="s">
        <v>2193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>
      <c r="A2" s="117" t="s">
        <v>307</v>
      </c>
      <c r="B2" s="12" t="s">
        <v>2194</v>
      </c>
    </row>
    <row r="3" spans="1:26">
      <c r="A3" s="117" t="s">
        <v>442</v>
      </c>
      <c r="B3" s="12" t="s">
        <v>2195</v>
      </c>
    </row>
    <row r="4" spans="1:26">
      <c r="A4" s="117" t="s">
        <v>357</v>
      </c>
      <c r="B4" s="12" t="s">
        <v>2196</v>
      </c>
    </row>
    <row r="5" spans="1:26">
      <c r="A5" s="117" t="s">
        <v>1254</v>
      </c>
      <c r="B5" s="12" t="s">
        <v>2197</v>
      </c>
    </row>
    <row r="6" spans="1:26">
      <c r="A6" s="117" t="s">
        <v>794</v>
      </c>
      <c r="B6" s="12" t="s">
        <v>2198</v>
      </c>
    </row>
    <row r="7" spans="1:26">
      <c r="A7" s="117" t="s">
        <v>338</v>
      </c>
      <c r="B7" s="12" t="s">
        <v>340</v>
      </c>
    </row>
    <row r="8" spans="1:26">
      <c r="A8" s="117" t="s">
        <v>149</v>
      </c>
      <c r="B8" s="12" t="s">
        <v>150</v>
      </c>
    </row>
    <row r="9" spans="1:26">
      <c r="A9" s="117" t="s">
        <v>324</v>
      </c>
      <c r="B9" s="12" t="s">
        <v>2199</v>
      </c>
    </row>
    <row r="10" spans="1:26">
      <c r="A10" s="117" t="s">
        <v>168</v>
      </c>
      <c r="B10" s="12" t="s">
        <v>2200</v>
      </c>
    </row>
    <row r="11" spans="1:26">
      <c r="A11" s="117" t="s">
        <v>413</v>
      </c>
      <c r="B11" s="12" t="s">
        <v>2201</v>
      </c>
    </row>
    <row r="12" spans="1:26">
      <c r="A12" s="117" t="s">
        <v>891</v>
      </c>
      <c r="B12" s="12" t="s">
        <v>2202</v>
      </c>
    </row>
    <row r="13" spans="1:26">
      <c r="A13" s="117" t="s">
        <v>438</v>
      </c>
      <c r="B13" s="12" t="s">
        <v>2203</v>
      </c>
    </row>
    <row r="14" spans="1:26">
      <c r="A14" s="117" t="s">
        <v>316</v>
      </c>
      <c r="B14" s="12" t="s">
        <v>2204</v>
      </c>
    </row>
    <row r="15" spans="1:26">
      <c r="A15" s="117" t="s">
        <v>331</v>
      </c>
      <c r="B15" s="12" t="s">
        <v>199</v>
      </c>
    </row>
    <row r="16" spans="1:26">
      <c r="A16" s="117" t="s">
        <v>350</v>
      </c>
      <c r="B16" s="12" t="s">
        <v>2205</v>
      </c>
    </row>
    <row r="17" spans="1:2">
      <c r="A17" s="117" t="s">
        <v>1696</v>
      </c>
      <c r="B17" s="12" t="s">
        <v>2206</v>
      </c>
    </row>
    <row r="18" spans="1:2">
      <c r="A18" s="120"/>
    </row>
    <row r="19" spans="1:2">
      <c r="A19" s="120"/>
    </row>
    <row r="20" spans="1:2">
      <c r="A20" s="120"/>
    </row>
    <row r="21" spans="1:2">
      <c r="A21" s="120"/>
    </row>
    <row r="22" spans="1:2">
      <c r="A22" s="120"/>
    </row>
    <row r="23" spans="1:2">
      <c r="A23" s="120"/>
    </row>
    <row r="24" spans="1:2">
      <c r="A24" s="120"/>
    </row>
    <row r="25" spans="1:2">
      <c r="A25" s="120"/>
    </row>
    <row r="26" spans="1:2">
      <c r="A26" s="120"/>
    </row>
    <row r="27" spans="1:2">
      <c r="A27" s="120"/>
    </row>
    <row r="28" spans="1:2">
      <c r="A28" s="120"/>
    </row>
    <row r="29" spans="1:2">
      <c r="A29" s="120"/>
    </row>
    <row r="30" spans="1:2">
      <c r="A30" s="120"/>
    </row>
    <row r="31" spans="1:2">
      <c r="A31" s="120"/>
    </row>
    <row r="32" spans="1:2">
      <c r="A32" s="120"/>
    </row>
    <row r="33" spans="1:1">
      <c r="A33" s="120"/>
    </row>
    <row r="34" spans="1:1">
      <c r="A34" s="120"/>
    </row>
    <row r="35" spans="1:1">
      <c r="A35" s="120"/>
    </row>
    <row r="36" spans="1:1">
      <c r="A36" s="120"/>
    </row>
    <row r="37" spans="1:1">
      <c r="A37" s="120"/>
    </row>
    <row r="38" spans="1:1">
      <c r="A38" s="120"/>
    </row>
    <row r="39" spans="1:1">
      <c r="A39" s="120"/>
    </row>
    <row r="40" spans="1:1">
      <c r="A40" s="120"/>
    </row>
    <row r="41" spans="1:1">
      <c r="A41" s="120"/>
    </row>
    <row r="42" spans="1:1">
      <c r="A42" s="120"/>
    </row>
    <row r="43" spans="1:1">
      <c r="A43" s="120"/>
    </row>
    <row r="44" spans="1:1">
      <c r="A44" s="120"/>
    </row>
    <row r="45" spans="1:1">
      <c r="A45" s="120"/>
    </row>
    <row r="46" spans="1:1">
      <c r="A46" s="120"/>
    </row>
    <row r="47" spans="1:1">
      <c r="A47" s="120"/>
    </row>
    <row r="48" spans="1:1">
      <c r="A48" s="120"/>
    </row>
    <row r="49" spans="1:1">
      <c r="A49" s="120"/>
    </row>
    <row r="50" spans="1:1">
      <c r="A50" s="120"/>
    </row>
    <row r="51" spans="1:1">
      <c r="A51" s="120"/>
    </row>
    <row r="52" spans="1:1">
      <c r="A52" s="120"/>
    </row>
    <row r="53" spans="1:1">
      <c r="A53" s="120"/>
    </row>
    <row r="54" spans="1:1">
      <c r="A54" s="120"/>
    </row>
    <row r="55" spans="1:1">
      <c r="A55" s="120"/>
    </row>
    <row r="56" spans="1:1">
      <c r="A56" s="120"/>
    </row>
    <row r="57" spans="1:1">
      <c r="A57" s="120"/>
    </row>
    <row r="58" spans="1:1">
      <c r="A58" s="120"/>
    </row>
    <row r="59" spans="1:1">
      <c r="A59" s="120"/>
    </row>
    <row r="60" spans="1:1">
      <c r="A60" s="120"/>
    </row>
    <row r="61" spans="1:1">
      <c r="A61" s="120"/>
    </row>
    <row r="62" spans="1:1">
      <c r="A62" s="120"/>
    </row>
    <row r="63" spans="1:1">
      <c r="A63" s="120"/>
    </row>
    <row r="64" spans="1:1">
      <c r="A64" s="120"/>
    </row>
    <row r="65" spans="1:1">
      <c r="A65" s="120"/>
    </row>
    <row r="66" spans="1:1">
      <c r="A66" s="120"/>
    </row>
    <row r="67" spans="1:1">
      <c r="A67" s="120"/>
    </row>
    <row r="68" spans="1:1">
      <c r="A68" s="120"/>
    </row>
    <row r="69" spans="1:1">
      <c r="A69" s="120"/>
    </row>
    <row r="70" spans="1:1">
      <c r="A70" s="120"/>
    </row>
    <row r="71" spans="1:1">
      <c r="A71" s="120"/>
    </row>
    <row r="72" spans="1:1">
      <c r="A72" s="120"/>
    </row>
    <row r="73" spans="1:1">
      <c r="A73" s="120"/>
    </row>
    <row r="74" spans="1:1">
      <c r="A74" s="120"/>
    </row>
    <row r="75" spans="1:1">
      <c r="A75" s="120"/>
    </row>
    <row r="76" spans="1:1">
      <c r="A76" s="120"/>
    </row>
    <row r="77" spans="1:1">
      <c r="A77" s="120"/>
    </row>
    <row r="78" spans="1:1">
      <c r="A78" s="120"/>
    </row>
    <row r="79" spans="1:1">
      <c r="A79" s="120"/>
    </row>
    <row r="80" spans="1:1">
      <c r="A80" s="120"/>
    </row>
    <row r="81" spans="1:1">
      <c r="A81" s="120"/>
    </row>
    <row r="82" spans="1:1">
      <c r="A82" s="120"/>
    </row>
    <row r="83" spans="1:1">
      <c r="A83" s="120"/>
    </row>
    <row r="84" spans="1:1">
      <c r="A84" s="120"/>
    </row>
    <row r="85" spans="1:1">
      <c r="A85" s="120"/>
    </row>
    <row r="86" spans="1:1">
      <c r="A86" s="120"/>
    </row>
    <row r="87" spans="1:1">
      <c r="A87" s="120"/>
    </row>
    <row r="88" spans="1:1">
      <c r="A88" s="120"/>
    </row>
    <row r="89" spans="1:1">
      <c r="A89" s="120"/>
    </row>
    <row r="90" spans="1:1">
      <c r="A90" s="120"/>
    </row>
    <row r="91" spans="1:1">
      <c r="A91" s="120"/>
    </row>
    <row r="92" spans="1:1">
      <c r="A92" s="120"/>
    </row>
    <row r="93" spans="1:1">
      <c r="A93" s="120"/>
    </row>
    <row r="94" spans="1:1">
      <c r="A94" s="120"/>
    </row>
    <row r="95" spans="1:1">
      <c r="A95" s="120"/>
    </row>
    <row r="96" spans="1:1">
      <c r="A96" s="120"/>
    </row>
    <row r="97" spans="1:1">
      <c r="A97" s="120"/>
    </row>
    <row r="98" spans="1:1">
      <c r="A98" s="120"/>
    </row>
    <row r="99" spans="1:1">
      <c r="A99" s="120"/>
    </row>
    <row r="100" spans="1:1">
      <c r="A100" s="120"/>
    </row>
    <row r="101" spans="1:1">
      <c r="A101" s="120"/>
    </row>
    <row r="102" spans="1:1">
      <c r="A102" s="120"/>
    </row>
    <row r="103" spans="1:1">
      <c r="A103" s="120"/>
    </row>
    <row r="104" spans="1:1">
      <c r="A104" s="120"/>
    </row>
    <row r="105" spans="1:1">
      <c r="A105" s="120"/>
    </row>
    <row r="106" spans="1:1">
      <c r="A106" s="120"/>
    </row>
    <row r="107" spans="1:1">
      <c r="A107" s="120"/>
    </row>
    <row r="108" spans="1:1">
      <c r="A108" s="120"/>
    </row>
    <row r="109" spans="1:1">
      <c r="A109" s="120"/>
    </row>
    <row r="110" spans="1:1">
      <c r="A110" s="120"/>
    </row>
    <row r="111" spans="1:1">
      <c r="A111" s="120"/>
    </row>
    <row r="112" spans="1:1">
      <c r="A112" s="120"/>
    </row>
    <row r="113" spans="1:1">
      <c r="A113" s="120"/>
    </row>
    <row r="114" spans="1:1">
      <c r="A114" s="120"/>
    </row>
    <row r="115" spans="1:1">
      <c r="A115" s="120"/>
    </row>
    <row r="116" spans="1:1">
      <c r="A116" s="120"/>
    </row>
    <row r="117" spans="1:1">
      <c r="A117" s="120"/>
    </row>
    <row r="118" spans="1:1">
      <c r="A118" s="120"/>
    </row>
    <row r="119" spans="1:1">
      <c r="A119" s="120"/>
    </row>
    <row r="120" spans="1:1">
      <c r="A120" s="120"/>
    </row>
    <row r="121" spans="1:1">
      <c r="A121" s="120"/>
    </row>
    <row r="122" spans="1:1">
      <c r="A122" s="120"/>
    </row>
    <row r="123" spans="1:1">
      <c r="A123" s="120"/>
    </row>
    <row r="124" spans="1:1">
      <c r="A124" s="120"/>
    </row>
    <row r="125" spans="1:1">
      <c r="A125" s="120"/>
    </row>
    <row r="126" spans="1:1">
      <c r="A126" s="120"/>
    </row>
    <row r="127" spans="1:1">
      <c r="A127" s="120"/>
    </row>
    <row r="128" spans="1:1">
      <c r="A128" s="120"/>
    </row>
    <row r="129" spans="1:1">
      <c r="A129" s="120"/>
    </row>
    <row r="130" spans="1:1">
      <c r="A130" s="120"/>
    </row>
    <row r="131" spans="1:1">
      <c r="A131" s="120"/>
    </row>
    <row r="132" spans="1:1">
      <c r="A132" s="120"/>
    </row>
    <row r="133" spans="1:1">
      <c r="A133" s="120"/>
    </row>
    <row r="134" spans="1:1">
      <c r="A134" s="120"/>
    </row>
    <row r="135" spans="1:1">
      <c r="A135" s="120"/>
    </row>
    <row r="136" spans="1:1">
      <c r="A136" s="120"/>
    </row>
    <row r="137" spans="1:1">
      <c r="A137" s="120"/>
    </row>
    <row r="138" spans="1:1">
      <c r="A138" s="120"/>
    </row>
    <row r="139" spans="1:1">
      <c r="A139" s="120"/>
    </row>
    <row r="140" spans="1:1">
      <c r="A140" s="120"/>
    </row>
    <row r="141" spans="1:1">
      <c r="A141" s="120"/>
    </row>
    <row r="142" spans="1:1">
      <c r="A142" s="120"/>
    </row>
    <row r="143" spans="1:1">
      <c r="A143" s="120"/>
    </row>
    <row r="144" spans="1:1">
      <c r="A144" s="120"/>
    </row>
    <row r="145" spans="1:1">
      <c r="A145" s="120"/>
    </row>
    <row r="146" spans="1:1">
      <c r="A146" s="120"/>
    </row>
    <row r="147" spans="1:1">
      <c r="A147" s="120"/>
    </row>
    <row r="148" spans="1:1">
      <c r="A148" s="120"/>
    </row>
    <row r="149" spans="1:1">
      <c r="A149" s="120"/>
    </row>
    <row r="150" spans="1:1">
      <c r="A150" s="120"/>
    </row>
    <row r="151" spans="1:1">
      <c r="A151" s="120"/>
    </row>
    <row r="152" spans="1:1">
      <c r="A152" s="120"/>
    </row>
    <row r="153" spans="1:1">
      <c r="A153" s="120"/>
    </row>
    <row r="154" spans="1:1">
      <c r="A154" s="120"/>
    </row>
    <row r="155" spans="1:1">
      <c r="A155" s="120"/>
    </row>
    <row r="156" spans="1:1">
      <c r="A156" s="120"/>
    </row>
    <row r="157" spans="1:1">
      <c r="A157" s="120"/>
    </row>
    <row r="158" spans="1:1">
      <c r="A158" s="120"/>
    </row>
    <row r="159" spans="1:1">
      <c r="A159" s="120"/>
    </row>
    <row r="160" spans="1:1">
      <c r="A160" s="120"/>
    </row>
    <row r="161" spans="1:1">
      <c r="A161" s="120"/>
    </row>
    <row r="162" spans="1:1">
      <c r="A162" s="120"/>
    </row>
    <row r="163" spans="1:1">
      <c r="A163" s="120"/>
    </row>
    <row r="164" spans="1:1">
      <c r="A164" s="120"/>
    </row>
    <row r="165" spans="1:1">
      <c r="A165" s="120"/>
    </row>
    <row r="166" spans="1:1">
      <c r="A166" s="120"/>
    </row>
    <row r="167" spans="1:1">
      <c r="A167" s="120"/>
    </row>
    <row r="168" spans="1:1">
      <c r="A168" s="120"/>
    </row>
    <row r="169" spans="1:1">
      <c r="A169" s="120"/>
    </row>
    <row r="170" spans="1:1">
      <c r="A170" s="120"/>
    </row>
    <row r="171" spans="1:1">
      <c r="A171" s="120"/>
    </row>
    <row r="172" spans="1:1">
      <c r="A172" s="120"/>
    </row>
    <row r="173" spans="1:1">
      <c r="A173" s="120"/>
    </row>
    <row r="174" spans="1:1">
      <c r="A174" s="120"/>
    </row>
    <row r="175" spans="1:1">
      <c r="A175" s="120"/>
    </row>
    <row r="176" spans="1:1">
      <c r="A176" s="120"/>
    </row>
    <row r="177" spans="1:1">
      <c r="A177" s="120"/>
    </row>
    <row r="178" spans="1:1">
      <c r="A178" s="120"/>
    </row>
    <row r="179" spans="1:1">
      <c r="A179" s="120"/>
    </row>
    <row r="180" spans="1:1">
      <c r="A180" s="120"/>
    </row>
    <row r="181" spans="1:1">
      <c r="A181" s="120"/>
    </row>
    <row r="182" spans="1:1">
      <c r="A182" s="120"/>
    </row>
    <row r="183" spans="1:1">
      <c r="A183" s="120"/>
    </row>
    <row r="184" spans="1:1">
      <c r="A184" s="120"/>
    </row>
    <row r="185" spans="1:1">
      <c r="A185" s="120"/>
    </row>
    <row r="186" spans="1:1">
      <c r="A186" s="120"/>
    </row>
    <row r="187" spans="1:1">
      <c r="A187" s="120"/>
    </row>
    <row r="188" spans="1:1">
      <c r="A188" s="120"/>
    </row>
    <row r="189" spans="1:1">
      <c r="A189" s="120"/>
    </row>
    <row r="190" spans="1:1">
      <c r="A190" s="120"/>
    </row>
    <row r="191" spans="1:1">
      <c r="A191" s="120"/>
    </row>
    <row r="192" spans="1:1">
      <c r="A192" s="120"/>
    </row>
    <row r="193" spans="1:1">
      <c r="A193" s="120"/>
    </row>
    <row r="194" spans="1:1">
      <c r="A194" s="120"/>
    </row>
    <row r="195" spans="1:1">
      <c r="A195" s="120"/>
    </row>
    <row r="196" spans="1:1">
      <c r="A196" s="120"/>
    </row>
    <row r="197" spans="1:1">
      <c r="A197" s="120"/>
    </row>
    <row r="198" spans="1:1">
      <c r="A198" s="120"/>
    </row>
    <row r="199" spans="1:1">
      <c r="A199" s="120"/>
    </row>
    <row r="200" spans="1:1">
      <c r="A200" s="120"/>
    </row>
    <row r="201" spans="1:1">
      <c r="A201" s="120"/>
    </row>
    <row r="202" spans="1:1">
      <c r="A202" s="120"/>
    </row>
    <row r="203" spans="1:1">
      <c r="A203" s="120"/>
    </row>
    <row r="204" spans="1:1">
      <c r="A204" s="120"/>
    </row>
    <row r="205" spans="1:1">
      <c r="A205" s="120"/>
    </row>
    <row r="206" spans="1:1">
      <c r="A206" s="120"/>
    </row>
    <row r="207" spans="1:1">
      <c r="A207" s="120"/>
    </row>
    <row r="208" spans="1:1">
      <c r="A208" s="120"/>
    </row>
    <row r="209" spans="1:1">
      <c r="A209" s="120"/>
    </row>
    <row r="210" spans="1:1">
      <c r="A210" s="120"/>
    </row>
    <row r="211" spans="1:1">
      <c r="A211" s="120"/>
    </row>
    <row r="212" spans="1:1">
      <c r="A212" s="120"/>
    </row>
    <row r="213" spans="1:1">
      <c r="A213" s="120"/>
    </row>
    <row r="214" spans="1:1">
      <c r="A214" s="120"/>
    </row>
    <row r="215" spans="1:1">
      <c r="A215" s="120"/>
    </row>
    <row r="216" spans="1:1">
      <c r="A216" s="120"/>
    </row>
    <row r="217" spans="1:1">
      <c r="A217" s="120"/>
    </row>
    <row r="218" spans="1:1">
      <c r="A218" s="120"/>
    </row>
    <row r="219" spans="1:1">
      <c r="A219" s="120"/>
    </row>
    <row r="220" spans="1:1">
      <c r="A220" s="120"/>
    </row>
    <row r="221" spans="1:1">
      <c r="A221" s="120"/>
    </row>
    <row r="222" spans="1:1">
      <c r="A222" s="120"/>
    </row>
    <row r="223" spans="1:1">
      <c r="A223" s="120"/>
    </row>
    <row r="224" spans="1:1">
      <c r="A224" s="120"/>
    </row>
    <row r="225" spans="1:1">
      <c r="A225" s="120"/>
    </row>
    <row r="226" spans="1:1">
      <c r="A226" s="120"/>
    </row>
    <row r="227" spans="1:1">
      <c r="A227" s="120"/>
    </row>
    <row r="228" spans="1:1">
      <c r="A228" s="120"/>
    </row>
    <row r="229" spans="1:1">
      <c r="A229" s="120"/>
    </row>
    <row r="230" spans="1:1">
      <c r="A230" s="120"/>
    </row>
    <row r="231" spans="1:1">
      <c r="A231" s="120"/>
    </row>
    <row r="232" spans="1:1">
      <c r="A232" s="120"/>
    </row>
    <row r="233" spans="1:1">
      <c r="A233" s="120"/>
    </row>
    <row r="234" spans="1:1">
      <c r="A234" s="120"/>
    </row>
    <row r="235" spans="1:1">
      <c r="A235" s="120"/>
    </row>
    <row r="236" spans="1:1">
      <c r="A236" s="120"/>
    </row>
    <row r="237" spans="1:1">
      <c r="A237" s="120"/>
    </row>
    <row r="238" spans="1:1">
      <c r="A238" s="120"/>
    </row>
    <row r="239" spans="1:1">
      <c r="A239" s="120"/>
    </row>
    <row r="240" spans="1:1">
      <c r="A240" s="120"/>
    </row>
    <row r="241" spans="1:1">
      <c r="A241" s="120"/>
    </row>
    <row r="242" spans="1:1">
      <c r="A242" s="120"/>
    </row>
    <row r="243" spans="1:1">
      <c r="A243" s="120"/>
    </row>
    <row r="244" spans="1:1">
      <c r="A244" s="120"/>
    </row>
    <row r="245" spans="1:1">
      <c r="A245" s="120"/>
    </row>
    <row r="246" spans="1:1">
      <c r="A246" s="120"/>
    </row>
    <row r="247" spans="1:1">
      <c r="A247" s="120"/>
    </row>
    <row r="248" spans="1:1">
      <c r="A248" s="120"/>
    </row>
    <row r="249" spans="1:1">
      <c r="A249" s="120"/>
    </row>
    <row r="250" spans="1:1">
      <c r="A250" s="120"/>
    </row>
    <row r="251" spans="1:1">
      <c r="A251" s="120"/>
    </row>
    <row r="252" spans="1:1">
      <c r="A252" s="120"/>
    </row>
    <row r="253" spans="1:1">
      <c r="A253" s="120"/>
    </row>
    <row r="254" spans="1:1">
      <c r="A254" s="120"/>
    </row>
    <row r="255" spans="1:1">
      <c r="A255" s="120"/>
    </row>
    <row r="256" spans="1:1">
      <c r="A256" s="120"/>
    </row>
    <row r="257" spans="1:1">
      <c r="A257" s="120"/>
    </row>
    <row r="258" spans="1:1">
      <c r="A258" s="120"/>
    </row>
    <row r="259" spans="1:1">
      <c r="A259" s="120"/>
    </row>
    <row r="260" spans="1:1">
      <c r="A260" s="120"/>
    </row>
    <row r="261" spans="1:1">
      <c r="A261" s="120"/>
    </row>
    <row r="262" spans="1:1">
      <c r="A262" s="120"/>
    </row>
    <row r="263" spans="1:1">
      <c r="A263" s="120"/>
    </row>
    <row r="264" spans="1:1">
      <c r="A264" s="120"/>
    </row>
    <row r="265" spans="1:1">
      <c r="A265" s="120"/>
    </row>
    <row r="266" spans="1:1">
      <c r="A266" s="120"/>
    </row>
    <row r="267" spans="1:1">
      <c r="A267" s="120"/>
    </row>
    <row r="268" spans="1:1">
      <c r="A268" s="120"/>
    </row>
    <row r="269" spans="1:1">
      <c r="A269" s="120"/>
    </row>
    <row r="270" spans="1:1">
      <c r="A270" s="120"/>
    </row>
    <row r="271" spans="1:1">
      <c r="A271" s="120"/>
    </row>
    <row r="272" spans="1:1">
      <c r="A272" s="120"/>
    </row>
    <row r="273" spans="1:1">
      <c r="A273" s="120"/>
    </row>
    <row r="274" spans="1:1">
      <c r="A274" s="120"/>
    </row>
    <row r="275" spans="1:1">
      <c r="A275" s="120"/>
    </row>
    <row r="276" spans="1:1">
      <c r="A276" s="120"/>
    </row>
    <row r="277" spans="1:1">
      <c r="A277" s="120"/>
    </row>
    <row r="278" spans="1:1">
      <c r="A278" s="120"/>
    </row>
    <row r="279" spans="1:1">
      <c r="A279" s="120"/>
    </row>
    <row r="280" spans="1:1">
      <c r="A280" s="120"/>
    </row>
    <row r="281" spans="1:1">
      <c r="A281" s="120"/>
    </row>
    <row r="282" spans="1:1">
      <c r="A282" s="120"/>
    </row>
    <row r="283" spans="1:1">
      <c r="A283" s="120"/>
    </row>
    <row r="284" spans="1:1">
      <c r="A284" s="120"/>
    </row>
    <row r="285" spans="1:1">
      <c r="A285" s="120"/>
    </row>
    <row r="286" spans="1:1">
      <c r="A286" s="120"/>
    </row>
    <row r="287" spans="1:1">
      <c r="A287" s="120"/>
    </row>
    <row r="288" spans="1:1">
      <c r="A288" s="120"/>
    </row>
    <row r="289" spans="1:1">
      <c r="A289" s="120"/>
    </row>
    <row r="290" spans="1:1">
      <c r="A290" s="120"/>
    </row>
    <row r="291" spans="1:1">
      <c r="A291" s="120"/>
    </row>
    <row r="292" spans="1:1">
      <c r="A292" s="120"/>
    </row>
    <row r="293" spans="1:1">
      <c r="A293" s="120"/>
    </row>
    <row r="294" spans="1:1">
      <c r="A294" s="120"/>
    </row>
    <row r="295" spans="1:1">
      <c r="A295" s="120"/>
    </row>
    <row r="296" spans="1:1">
      <c r="A296" s="120"/>
    </row>
    <row r="297" spans="1:1">
      <c r="A297" s="120"/>
    </row>
    <row r="298" spans="1:1">
      <c r="A298" s="120"/>
    </row>
    <row r="299" spans="1:1">
      <c r="A299" s="120"/>
    </row>
    <row r="300" spans="1:1">
      <c r="A300" s="120"/>
    </row>
    <row r="301" spans="1:1">
      <c r="A301" s="120"/>
    </row>
    <row r="302" spans="1:1">
      <c r="A302" s="120"/>
    </row>
    <row r="303" spans="1:1">
      <c r="A303" s="120"/>
    </row>
    <row r="304" spans="1:1">
      <c r="A304" s="120"/>
    </row>
    <row r="305" spans="1:1">
      <c r="A305" s="120"/>
    </row>
    <row r="306" spans="1:1">
      <c r="A306" s="120"/>
    </row>
    <row r="307" spans="1:1">
      <c r="A307" s="120"/>
    </row>
    <row r="308" spans="1:1">
      <c r="A308" s="120"/>
    </row>
    <row r="309" spans="1:1">
      <c r="A309" s="120"/>
    </row>
    <row r="310" spans="1:1">
      <c r="A310" s="120"/>
    </row>
    <row r="311" spans="1:1">
      <c r="A311" s="120"/>
    </row>
    <row r="312" spans="1:1">
      <c r="A312" s="120"/>
    </row>
    <row r="313" spans="1:1">
      <c r="A313" s="120"/>
    </row>
    <row r="314" spans="1:1">
      <c r="A314" s="120"/>
    </row>
    <row r="315" spans="1:1">
      <c r="A315" s="120"/>
    </row>
    <row r="316" spans="1:1">
      <c r="A316" s="120"/>
    </row>
    <row r="317" spans="1:1">
      <c r="A317" s="120"/>
    </row>
    <row r="318" spans="1:1">
      <c r="A318" s="120"/>
    </row>
    <row r="319" spans="1:1">
      <c r="A319" s="120"/>
    </row>
    <row r="320" spans="1:1">
      <c r="A320" s="120"/>
    </row>
    <row r="321" spans="1:1">
      <c r="A321" s="120"/>
    </row>
    <row r="322" spans="1:1">
      <c r="A322" s="120"/>
    </row>
    <row r="323" spans="1:1">
      <c r="A323" s="120"/>
    </row>
    <row r="324" spans="1:1">
      <c r="A324" s="120"/>
    </row>
    <row r="325" spans="1:1">
      <c r="A325" s="120"/>
    </row>
    <row r="326" spans="1:1">
      <c r="A326" s="120"/>
    </row>
    <row r="327" spans="1:1">
      <c r="A327" s="120"/>
    </row>
    <row r="328" spans="1:1">
      <c r="A328" s="120"/>
    </row>
    <row r="329" spans="1:1">
      <c r="A329" s="120"/>
    </row>
    <row r="330" spans="1:1">
      <c r="A330" s="120"/>
    </row>
    <row r="331" spans="1:1">
      <c r="A331" s="120"/>
    </row>
    <row r="332" spans="1:1">
      <c r="A332" s="120"/>
    </row>
    <row r="333" spans="1:1">
      <c r="A333" s="120"/>
    </row>
    <row r="334" spans="1:1">
      <c r="A334" s="120"/>
    </row>
    <row r="335" spans="1:1">
      <c r="A335" s="120"/>
    </row>
    <row r="336" spans="1:1">
      <c r="A336" s="120"/>
    </row>
    <row r="337" spans="1:1">
      <c r="A337" s="120"/>
    </row>
    <row r="338" spans="1:1">
      <c r="A338" s="120"/>
    </row>
    <row r="339" spans="1:1">
      <c r="A339" s="120"/>
    </row>
    <row r="340" spans="1:1">
      <c r="A340" s="120"/>
    </row>
    <row r="341" spans="1:1">
      <c r="A341" s="120"/>
    </row>
    <row r="342" spans="1:1">
      <c r="A342" s="120"/>
    </row>
    <row r="343" spans="1:1">
      <c r="A343" s="120"/>
    </row>
    <row r="344" spans="1:1">
      <c r="A344" s="120"/>
    </row>
    <row r="345" spans="1:1">
      <c r="A345" s="120"/>
    </row>
    <row r="346" spans="1:1">
      <c r="A346" s="120"/>
    </row>
    <row r="347" spans="1:1">
      <c r="A347" s="120"/>
    </row>
    <row r="348" spans="1:1">
      <c r="A348" s="120"/>
    </row>
    <row r="349" spans="1:1">
      <c r="A349" s="120"/>
    </row>
    <row r="350" spans="1:1">
      <c r="A350" s="120"/>
    </row>
    <row r="351" spans="1:1">
      <c r="A351" s="120"/>
    </row>
    <row r="352" spans="1:1">
      <c r="A352" s="120"/>
    </row>
    <row r="353" spans="1:1">
      <c r="A353" s="120"/>
    </row>
    <row r="354" spans="1:1">
      <c r="A354" s="120"/>
    </row>
    <row r="355" spans="1:1">
      <c r="A355" s="120"/>
    </row>
    <row r="356" spans="1:1">
      <c r="A356" s="120"/>
    </row>
    <row r="357" spans="1:1">
      <c r="A357" s="120"/>
    </row>
    <row r="358" spans="1:1">
      <c r="A358" s="120"/>
    </row>
    <row r="359" spans="1:1">
      <c r="A359" s="120"/>
    </row>
    <row r="360" spans="1:1">
      <c r="A360" s="120"/>
    </row>
    <row r="361" spans="1:1">
      <c r="A361" s="120"/>
    </row>
    <row r="362" spans="1:1">
      <c r="A362" s="120"/>
    </row>
    <row r="363" spans="1:1">
      <c r="A363" s="120"/>
    </row>
    <row r="364" spans="1:1">
      <c r="A364" s="120"/>
    </row>
    <row r="365" spans="1:1">
      <c r="A365" s="120"/>
    </row>
    <row r="366" spans="1:1">
      <c r="A366" s="120"/>
    </row>
    <row r="367" spans="1:1">
      <c r="A367" s="120"/>
    </row>
    <row r="368" spans="1:1">
      <c r="A368" s="120"/>
    </row>
    <row r="369" spans="1:1">
      <c r="A369" s="120"/>
    </row>
    <row r="370" spans="1:1">
      <c r="A370" s="120"/>
    </row>
    <row r="371" spans="1:1">
      <c r="A371" s="120"/>
    </row>
    <row r="372" spans="1:1">
      <c r="A372" s="120"/>
    </row>
    <row r="373" spans="1:1">
      <c r="A373" s="120"/>
    </row>
    <row r="374" spans="1:1">
      <c r="A374" s="120"/>
    </row>
    <row r="375" spans="1:1">
      <c r="A375" s="120"/>
    </row>
    <row r="376" spans="1:1">
      <c r="A376" s="120"/>
    </row>
    <row r="377" spans="1:1">
      <c r="A377" s="120"/>
    </row>
    <row r="378" spans="1:1">
      <c r="A378" s="120"/>
    </row>
    <row r="379" spans="1:1">
      <c r="A379" s="120"/>
    </row>
    <row r="380" spans="1:1">
      <c r="A380" s="120"/>
    </row>
    <row r="381" spans="1:1">
      <c r="A381" s="120"/>
    </row>
    <row r="382" spans="1:1">
      <c r="A382" s="120"/>
    </row>
    <row r="383" spans="1:1">
      <c r="A383" s="120"/>
    </row>
    <row r="384" spans="1:1">
      <c r="A384" s="120"/>
    </row>
    <row r="385" spans="1:1">
      <c r="A385" s="120"/>
    </row>
    <row r="386" spans="1:1">
      <c r="A386" s="120"/>
    </row>
    <row r="387" spans="1:1">
      <c r="A387" s="120"/>
    </row>
    <row r="388" spans="1:1">
      <c r="A388" s="120"/>
    </row>
    <row r="389" spans="1:1">
      <c r="A389" s="120"/>
    </row>
    <row r="390" spans="1:1">
      <c r="A390" s="120"/>
    </row>
    <row r="391" spans="1:1">
      <c r="A391" s="120"/>
    </row>
    <row r="392" spans="1:1">
      <c r="A392" s="120"/>
    </row>
    <row r="393" spans="1:1">
      <c r="A393" s="120"/>
    </row>
    <row r="394" spans="1:1">
      <c r="A394" s="120"/>
    </row>
    <row r="395" spans="1:1">
      <c r="A395" s="120"/>
    </row>
    <row r="396" spans="1:1">
      <c r="A396" s="120"/>
    </row>
    <row r="397" spans="1:1">
      <c r="A397" s="120"/>
    </row>
    <row r="398" spans="1:1">
      <c r="A398" s="120"/>
    </row>
    <row r="399" spans="1:1">
      <c r="A399" s="120"/>
    </row>
    <row r="400" spans="1:1">
      <c r="A400" s="120"/>
    </row>
    <row r="401" spans="1:1">
      <c r="A401" s="120"/>
    </row>
    <row r="402" spans="1:1">
      <c r="A402" s="120"/>
    </row>
    <row r="403" spans="1:1">
      <c r="A403" s="120"/>
    </row>
    <row r="404" spans="1:1">
      <c r="A404" s="120"/>
    </row>
    <row r="405" spans="1:1">
      <c r="A405" s="120"/>
    </row>
    <row r="406" spans="1:1">
      <c r="A406" s="120"/>
    </row>
    <row r="407" spans="1:1">
      <c r="A407" s="120"/>
    </row>
    <row r="408" spans="1:1">
      <c r="A408" s="120"/>
    </row>
    <row r="409" spans="1:1">
      <c r="A409" s="120"/>
    </row>
    <row r="410" spans="1:1">
      <c r="A410" s="120"/>
    </row>
    <row r="411" spans="1:1">
      <c r="A411" s="120"/>
    </row>
    <row r="412" spans="1:1">
      <c r="A412" s="120"/>
    </row>
    <row r="413" spans="1:1">
      <c r="A413" s="120"/>
    </row>
    <row r="414" spans="1:1">
      <c r="A414" s="120"/>
    </row>
    <row r="415" spans="1:1">
      <c r="A415" s="120"/>
    </row>
    <row r="416" spans="1:1">
      <c r="A416" s="120"/>
    </row>
    <row r="417" spans="1:1">
      <c r="A417" s="120"/>
    </row>
    <row r="418" spans="1:1">
      <c r="A418" s="120"/>
    </row>
    <row r="419" spans="1:1">
      <c r="A419" s="120"/>
    </row>
    <row r="420" spans="1:1">
      <c r="A420" s="120"/>
    </row>
    <row r="421" spans="1:1">
      <c r="A421" s="120"/>
    </row>
    <row r="422" spans="1:1">
      <c r="A422" s="120"/>
    </row>
    <row r="423" spans="1:1">
      <c r="A423" s="120"/>
    </row>
    <row r="424" spans="1:1">
      <c r="A424" s="120"/>
    </row>
    <row r="425" spans="1:1">
      <c r="A425" s="120"/>
    </row>
    <row r="426" spans="1:1">
      <c r="A426" s="120"/>
    </row>
    <row r="427" spans="1:1">
      <c r="A427" s="120"/>
    </row>
    <row r="428" spans="1:1">
      <c r="A428" s="120"/>
    </row>
    <row r="429" spans="1:1">
      <c r="A429" s="120"/>
    </row>
    <row r="430" spans="1:1">
      <c r="A430" s="120"/>
    </row>
    <row r="431" spans="1:1">
      <c r="A431" s="120"/>
    </row>
    <row r="432" spans="1:1">
      <c r="A432" s="120"/>
    </row>
    <row r="433" spans="1:1">
      <c r="A433" s="120"/>
    </row>
    <row r="434" spans="1:1">
      <c r="A434" s="120"/>
    </row>
    <row r="435" spans="1:1">
      <c r="A435" s="120"/>
    </row>
    <row r="436" spans="1:1">
      <c r="A436" s="120"/>
    </row>
    <row r="437" spans="1:1">
      <c r="A437" s="120"/>
    </row>
    <row r="438" spans="1:1">
      <c r="A438" s="120"/>
    </row>
    <row r="439" spans="1:1">
      <c r="A439" s="120"/>
    </row>
    <row r="440" spans="1:1">
      <c r="A440" s="120"/>
    </row>
    <row r="441" spans="1:1">
      <c r="A441" s="120"/>
    </row>
    <row r="442" spans="1:1">
      <c r="A442" s="120"/>
    </row>
    <row r="443" spans="1:1">
      <c r="A443" s="120"/>
    </row>
    <row r="444" spans="1:1">
      <c r="A444" s="120"/>
    </row>
    <row r="445" spans="1:1">
      <c r="A445" s="120"/>
    </row>
    <row r="446" spans="1:1">
      <c r="A446" s="120"/>
    </row>
    <row r="447" spans="1:1">
      <c r="A447" s="120"/>
    </row>
    <row r="448" spans="1:1">
      <c r="A448" s="120"/>
    </row>
    <row r="449" spans="1:1">
      <c r="A449" s="120"/>
    </row>
    <row r="450" spans="1:1">
      <c r="A450" s="120"/>
    </row>
    <row r="451" spans="1:1">
      <c r="A451" s="120"/>
    </row>
    <row r="452" spans="1:1">
      <c r="A452" s="120"/>
    </row>
    <row r="453" spans="1:1">
      <c r="A453" s="120"/>
    </row>
    <row r="454" spans="1:1">
      <c r="A454" s="120"/>
    </row>
    <row r="455" spans="1:1">
      <c r="A455" s="120"/>
    </row>
    <row r="456" spans="1:1">
      <c r="A456" s="120"/>
    </row>
    <row r="457" spans="1:1">
      <c r="A457" s="120"/>
    </row>
    <row r="458" spans="1:1">
      <c r="A458" s="120"/>
    </row>
    <row r="459" spans="1:1">
      <c r="A459" s="120"/>
    </row>
    <row r="460" spans="1:1">
      <c r="A460" s="120"/>
    </row>
    <row r="461" spans="1:1">
      <c r="A461" s="120"/>
    </row>
    <row r="462" spans="1:1">
      <c r="A462" s="120"/>
    </row>
    <row r="463" spans="1:1">
      <c r="A463" s="120"/>
    </row>
    <row r="464" spans="1:1">
      <c r="A464" s="120"/>
    </row>
    <row r="465" spans="1:1">
      <c r="A465" s="120"/>
    </row>
    <row r="466" spans="1:1">
      <c r="A466" s="120"/>
    </row>
    <row r="467" spans="1:1">
      <c r="A467" s="120"/>
    </row>
    <row r="468" spans="1:1">
      <c r="A468" s="120"/>
    </row>
    <row r="469" spans="1:1">
      <c r="A469" s="120"/>
    </row>
    <row r="470" spans="1:1">
      <c r="A470" s="120"/>
    </row>
    <row r="471" spans="1:1">
      <c r="A471" s="120"/>
    </row>
    <row r="472" spans="1:1">
      <c r="A472" s="120"/>
    </row>
    <row r="473" spans="1:1">
      <c r="A473" s="120"/>
    </row>
    <row r="474" spans="1:1">
      <c r="A474" s="120"/>
    </row>
    <row r="475" spans="1:1">
      <c r="A475" s="120"/>
    </row>
    <row r="476" spans="1:1">
      <c r="A476" s="120"/>
    </row>
    <row r="477" spans="1:1">
      <c r="A477" s="120"/>
    </row>
    <row r="478" spans="1:1">
      <c r="A478" s="120"/>
    </row>
    <row r="479" spans="1:1">
      <c r="A479" s="120"/>
    </row>
    <row r="480" spans="1:1">
      <c r="A480" s="120"/>
    </row>
    <row r="481" spans="1:1">
      <c r="A481" s="120"/>
    </row>
    <row r="482" spans="1:1">
      <c r="A482" s="120"/>
    </row>
    <row r="483" spans="1:1">
      <c r="A483" s="120"/>
    </row>
    <row r="484" spans="1:1">
      <c r="A484" s="120"/>
    </row>
    <row r="485" spans="1:1">
      <c r="A485" s="120"/>
    </row>
    <row r="486" spans="1:1">
      <c r="A486" s="120"/>
    </row>
    <row r="487" spans="1:1">
      <c r="A487" s="120"/>
    </row>
    <row r="488" spans="1:1">
      <c r="A488" s="120"/>
    </row>
    <row r="489" spans="1:1">
      <c r="A489" s="120"/>
    </row>
    <row r="490" spans="1:1">
      <c r="A490" s="120"/>
    </row>
    <row r="491" spans="1:1">
      <c r="A491" s="120"/>
    </row>
    <row r="492" spans="1:1">
      <c r="A492" s="120"/>
    </row>
    <row r="493" spans="1:1">
      <c r="A493" s="120"/>
    </row>
    <row r="494" spans="1:1">
      <c r="A494" s="120"/>
    </row>
    <row r="495" spans="1:1">
      <c r="A495" s="120"/>
    </row>
    <row r="496" spans="1:1">
      <c r="A496" s="120"/>
    </row>
    <row r="497" spans="1:1">
      <c r="A497" s="120"/>
    </row>
    <row r="498" spans="1:1">
      <c r="A498" s="120"/>
    </row>
    <row r="499" spans="1:1">
      <c r="A499" s="120"/>
    </row>
    <row r="500" spans="1:1">
      <c r="A500" s="120"/>
    </row>
    <row r="501" spans="1:1">
      <c r="A501" s="120"/>
    </row>
    <row r="502" spans="1:1">
      <c r="A502" s="120"/>
    </row>
    <row r="503" spans="1:1">
      <c r="A503" s="120"/>
    </row>
    <row r="504" spans="1:1">
      <c r="A504" s="120"/>
    </row>
    <row r="505" spans="1:1">
      <c r="A505" s="120"/>
    </row>
    <row r="506" spans="1:1">
      <c r="A506" s="120"/>
    </row>
    <row r="507" spans="1:1">
      <c r="A507" s="120"/>
    </row>
    <row r="508" spans="1:1">
      <c r="A508" s="120"/>
    </row>
    <row r="509" spans="1:1">
      <c r="A509" s="120"/>
    </row>
    <row r="510" spans="1:1">
      <c r="A510" s="120"/>
    </row>
    <row r="511" spans="1:1">
      <c r="A511" s="120"/>
    </row>
    <row r="512" spans="1:1">
      <c r="A512" s="120"/>
    </row>
    <row r="513" spans="1:1">
      <c r="A513" s="120"/>
    </row>
    <row r="514" spans="1:1">
      <c r="A514" s="120"/>
    </row>
    <row r="515" spans="1:1">
      <c r="A515" s="120"/>
    </row>
    <row r="516" spans="1:1">
      <c r="A516" s="120"/>
    </row>
    <row r="517" spans="1:1">
      <c r="A517" s="120"/>
    </row>
    <row r="518" spans="1:1">
      <c r="A518" s="120"/>
    </row>
    <row r="519" spans="1:1">
      <c r="A519" s="120"/>
    </row>
    <row r="520" spans="1:1">
      <c r="A520" s="120"/>
    </row>
    <row r="521" spans="1:1">
      <c r="A521" s="120"/>
    </row>
    <row r="522" spans="1:1">
      <c r="A522" s="120"/>
    </row>
    <row r="523" spans="1:1">
      <c r="A523" s="120"/>
    </row>
    <row r="524" spans="1:1">
      <c r="A524" s="120"/>
    </row>
    <row r="525" spans="1:1">
      <c r="A525" s="120"/>
    </row>
    <row r="526" spans="1:1">
      <c r="A526" s="120"/>
    </row>
    <row r="527" spans="1:1">
      <c r="A527" s="120"/>
    </row>
    <row r="528" spans="1:1">
      <c r="A528" s="120"/>
    </row>
    <row r="529" spans="1:1">
      <c r="A529" s="120"/>
    </row>
    <row r="530" spans="1:1">
      <c r="A530" s="120"/>
    </row>
    <row r="531" spans="1:1">
      <c r="A531" s="120"/>
    </row>
    <row r="532" spans="1:1">
      <c r="A532" s="120"/>
    </row>
    <row r="533" spans="1:1">
      <c r="A533" s="120"/>
    </row>
    <row r="534" spans="1:1">
      <c r="A534" s="120"/>
    </row>
    <row r="535" spans="1:1">
      <c r="A535" s="120"/>
    </row>
    <row r="536" spans="1:1">
      <c r="A536" s="120"/>
    </row>
    <row r="537" spans="1:1">
      <c r="A537" s="120"/>
    </row>
    <row r="538" spans="1:1">
      <c r="A538" s="120"/>
    </row>
    <row r="539" spans="1:1">
      <c r="A539" s="120"/>
    </row>
    <row r="540" spans="1:1">
      <c r="A540" s="120"/>
    </row>
    <row r="541" spans="1:1">
      <c r="A541" s="120"/>
    </row>
    <row r="542" spans="1:1">
      <c r="A542" s="120"/>
    </row>
    <row r="543" spans="1:1">
      <c r="A543" s="120"/>
    </row>
    <row r="544" spans="1:1">
      <c r="A544" s="120"/>
    </row>
    <row r="545" spans="1:1">
      <c r="A545" s="120"/>
    </row>
    <row r="546" spans="1:1">
      <c r="A546" s="120"/>
    </row>
    <row r="547" spans="1:1">
      <c r="A547" s="120"/>
    </row>
    <row r="548" spans="1:1">
      <c r="A548" s="120"/>
    </row>
    <row r="549" spans="1:1">
      <c r="A549" s="120"/>
    </row>
    <row r="550" spans="1:1">
      <c r="A550" s="120"/>
    </row>
    <row r="551" spans="1:1">
      <c r="A551" s="120"/>
    </row>
    <row r="552" spans="1:1">
      <c r="A552" s="120"/>
    </row>
    <row r="553" spans="1:1">
      <c r="A553" s="120"/>
    </row>
    <row r="554" spans="1:1">
      <c r="A554" s="120"/>
    </row>
    <row r="555" spans="1:1">
      <c r="A555" s="120"/>
    </row>
    <row r="556" spans="1:1">
      <c r="A556" s="120"/>
    </row>
    <row r="557" spans="1:1">
      <c r="A557" s="120"/>
    </row>
    <row r="558" spans="1:1">
      <c r="A558" s="120"/>
    </row>
    <row r="559" spans="1:1">
      <c r="A559" s="120"/>
    </row>
    <row r="560" spans="1:1">
      <c r="A560" s="120"/>
    </row>
    <row r="561" spans="1:1">
      <c r="A561" s="120"/>
    </row>
    <row r="562" spans="1:1">
      <c r="A562" s="120"/>
    </row>
    <row r="563" spans="1:1">
      <c r="A563" s="120"/>
    </row>
    <row r="564" spans="1:1">
      <c r="A564" s="120"/>
    </row>
    <row r="565" spans="1:1">
      <c r="A565" s="120"/>
    </row>
    <row r="566" spans="1:1">
      <c r="A566" s="120"/>
    </row>
    <row r="567" spans="1:1">
      <c r="A567" s="120"/>
    </row>
    <row r="568" spans="1:1">
      <c r="A568" s="120"/>
    </row>
    <row r="569" spans="1:1">
      <c r="A569" s="120"/>
    </row>
    <row r="570" spans="1:1">
      <c r="A570" s="120"/>
    </row>
    <row r="571" spans="1:1">
      <c r="A571" s="120"/>
    </row>
    <row r="572" spans="1:1">
      <c r="A572" s="120"/>
    </row>
    <row r="573" spans="1:1">
      <c r="A573" s="120"/>
    </row>
    <row r="574" spans="1:1">
      <c r="A574" s="120"/>
    </row>
    <row r="575" spans="1:1">
      <c r="A575" s="120"/>
    </row>
    <row r="576" spans="1:1">
      <c r="A576" s="120"/>
    </row>
    <row r="577" spans="1:1">
      <c r="A577" s="120"/>
    </row>
    <row r="578" spans="1:1">
      <c r="A578" s="120"/>
    </row>
    <row r="579" spans="1:1">
      <c r="A579" s="120"/>
    </row>
    <row r="580" spans="1:1">
      <c r="A580" s="120"/>
    </row>
    <row r="581" spans="1:1">
      <c r="A581" s="120"/>
    </row>
    <row r="582" spans="1:1">
      <c r="A582" s="120"/>
    </row>
    <row r="583" spans="1:1">
      <c r="A583" s="120"/>
    </row>
    <row r="584" spans="1:1">
      <c r="A584" s="120"/>
    </row>
    <row r="585" spans="1:1">
      <c r="A585" s="120"/>
    </row>
    <row r="586" spans="1:1">
      <c r="A586" s="120"/>
    </row>
    <row r="587" spans="1:1">
      <c r="A587" s="120"/>
    </row>
    <row r="588" spans="1:1">
      <c r="A588" s="120"/>
    </row>
    <row r="589" spans="1:1">
      <c r="A589" s="120"/>
    </row>
    <row r="590" spans="1:1">
      <c r="A590" s="120"/>
    </row>
    <row r="591" spans="1:1">
      <c r="A591" s="120"/>
    </row>
    <row r="592" spans="1:1">
      <c r="A592" s="120"/>
    </row>
    <row r="593" spans="1:1">
      <c r="A593" s="120"/>
    </row>
    <row r="594" spans="1:1">
      <c r="A594" s="120"/>
    </row>
    <row r="595" spans="1:1">
      <c r="A595" s="120"/>
    </row>
    <row r="596" spans="1:1">
      <c r="A596" s="120"/>
    </row>
    <row r="597" spans="1:1">
      <c r="A597" s="120"/>
    </row>
    <row r="598" spans="1:1">
      <c r="A598" s="120"/>
    </row>
    <row r="599" spans="1:1">
      <c r="A599" s="120"/>
    </row>
    <row r="600" spans="1:1">
      <c r="A600" s="120"/>
    </row>
    <row r="601" spans="1:1">
      <c r="A601" s="120"/>
    </row>
    <row r="602" spans="1:1">
      <c r="A602" s="120"/>
    </row>
    <row r="603" spans="1:1">
      <c r="A603" s="120"/>
    </row>
    <row r="604" spans="1:1">
      <c r="A604" s="120"/>
    </row>
    <row r="605" spans="1:1">
      <c r="A605" s="120"/>
    </row>
    <row r="606" spans="1:1">
      <c r="A606" s="120"/>
    </row>
    <row r="607" spans="1:1">
      <c r="A607" s="120"/>
    </row>
    <row r="608" spans="1:1">
      <c r="A608" s="120"/>
    </row>
    <row r="609" spans="1:1">
      <c r="A609" s="120"/>
    </row>
    <row r="610" spans="1:1">
      <c r="A610" s="120"/>
    </row>
    <row r="611" spans="1:1">
      <c r="A611" s="120"/>
    </row>
    <row r="612" spans="1:1">
      <c r="A612" s="120"/>
    </row>
    <row r="613" spans="1:1">
      <c r="A613" s="120"/>
    </row>
    <row r="614" spans="1:1">
      <c r="A614" s="120"/>
    </row>
    <row r="615" spans="1:1">
      <c r="A615" s="120"/>
    </row>
    <row r="616" spans="1:1">
      <c r="A616" s="120"/>
    </row>
    <row r="617" spans="1:1">
      <c r="A617" s="120"/>
    </row>
    <row r="618" spans="1:1">
      <c r="A618" s="120"/>
    </row>
    <row r="619" spans="1:1">
      <c r="A619" s="120"/>
    </row>
    <row r="620" spans="1:1">
      <c r="A620" s="120"/>
    </row>
    <row r="621" spans="1:1">
      <c r="A621" s="120"/>
    </row>
    <row r="622" spans="1:1">
      <c r="A622" s="120"/>
    </row>
    <row r="623" spans="1:1">
      <c r="A623" s="120"/>
    </row>
    <row r="624" spans="1:1">
      <c r="A624" s="120"/>
    </row>
    <row r="625" spans="1:1">
      <c r="A625" s="120"/>
    </row>
    <row r="626" spans="1:1">
      <c r="A626" s="120"/>
    </row>
    <row r="627" spans="1:1">
      <c r="A627" s="120"/>
    </row>
    <row r="628" spans="1:1">
      <c r="A628" s="120"/>
    </row>
    <row r="629" spans="1:1">
      <c r="A629" s="120"/>
    </row>
    <row r="630" spans="1:1">
      <c r="A630" s="120"/>
    </row>
    <row r="631" spans="1:1">
      <c r="A631" s="120"/>
    </row>
    <row r="632" spans="1:1">
      <c r="A632" s="120"/>
    </row>
    <row r="633" spans="1:1">
      <c r="A633" s="120"/>
    </row>
    <row r="634" spans="1:1">
      <c r="A634" s="120"/>
    </row>
    <row r="635" spans="1:1">
      <c r="A635" s="120"/>
    </row>
    <row r="636" spans="1:1">
      <c r="A636" s="120"/>
    </row>
    <row r="637" spans="1:1">
      <c r="A637" s="120"/>
    </row>
    <row r="638" spans="1:1">
      <c r="A638" s="120"/>
    </row>
    <row r="639" spans="1:1">
      <c r="A639" s="120"/>
    </row>
    <row r="640" spans="1:1">
      <c r="A640" s="120"/>
    </row>
    <row r="641" spans="1:1">
      <c r="A641" s="120"/>
    </row>
    <row r="642" spans="1:1">
      <c r="A642" s="120"/>
    </row>
    <row r="643" spans="1:1">
      <c r="A643" s="120"/>
    </row>
    <row r="644" spans="1:1">
      <c r="A644" s="120"/>
    </row>
    <row r="645" spans="1:1">
      <c r="A645" s="120"/>
    </row>
    <row r="646" spans="1:1">
      <c r="A646" s="120"/>
    </row>
    <row r="647" spans="1:1">
      <c r="A647" s="120"/>
    </row>
    <row r="648" spans="1:1">
      <c r="A648" s="120"/>
    </row>
    <row r="649" spans="1:1">
      <c r="A649" s="120"/>
    </row>
    <row r="650" spans="1:1">
      <c r="A650" s="120"/>
    </row>
    <row r="651" spans="1:1">
      <c r="A651" s="120"/>
    </row>
    <row r="652" spans="1:1">
      <c r="A652" s="120"/>
    </row>
    <row r="653" spans="1:1">
      <c r="A653" s="120"/>
    </row>
    <row r="654" spans="1:1">
      <c r="A654" s="120"/>
    </row>
    <row r="655" spans="1:1">
      <c r="A655" s="120"/>
    </row>
    <row r="656" spans="1:1">
      <c r="A656" s="120"/>
    </row>
    <row r="657" spans="1:1">
      <c r="A657" s="120"/>
    </row>
    <row r="658" spans="1:1">
      <c r="A658" s="120"/>
    </row>
    <row r="659" spans="1:1">
      <c r="A659" s="120"/>
    </row>
    <row r="660" spans="1:1">
      <c r="A660" s="120"/>
    </row>
    <row r="661" spans="1:1">
      <c r="A661" s="120"/>
    </row>
    <row r="662" spans="1:1">
      <c r="A662" s="120"/>
    </row>
    <row r="663" spans="1:1">
      <c r="A663" s="120"/>
    </row>
    <row r="664" spans="1:1">
      <c r="A664" s="120"/>
    </row>
    <row r="665" spans="1:1">
      <c r="A665" s="120"/>
    </row>
    <row r="666" spans="1:1">
      <c r="A666" s="120"/>
    </row>
    <row r="667" spans="1:1">
      <c r="A667" s="120"/>
    </row>
    <row r="668" spans="1:1">
      <c r="A668" s="120"/>
    </row>
    <row r="669" spans="1:1">
      <c r="A669" s="120"/>
    </row>
    <row r="670" spans="1:1">
      <c r="A670" s="120"/>
    </row>
    <row r="671" spans="1:1">
      <c r="A671" s="120"/>
    </row>
    <row r="672" spans="1:1">
      <c r="A672" s="120"/>
    </row>
    <row r="673" spans="1:1">
      <c r="A673" s="120"/>
    </row>
    <row r="674" spans="1:1">
      <c r="A674" s="120"/>
    </row>
    <row r="675" spans="1:1">
      <c r="A675" s="120"/>
    </row>
    <row r="676" spans="1:1">
      <c r="A676" s="120"/>
    </row>
    <row r="677" spans="1:1">
      <c r="A677" s="120"/>
    </row>
    <row r="678" spans="1:1">
      <c r="A678" s="120"/>
    </row>
    <row r="679" spans="1:1">
      <c r="A679" s="120"/>
    </row>
    <row r="680" spans="1:1">
      <c r="A680" s="120"/>
    </row>
    <row r="681" spans="1:1">
      <c r="A681" s="120"/>
    </row>
    <row r="682" spans="1:1">
      <c r="A682" s="120"/>
    </row>
    <row r="683" spans="1:1">
      <c r="A683" s="120"/>
    </row>
    <row r="684" spans="1:1">
      <c r="A684" s="120"/>
    </row>
    <row r="685" spans="1:1">
      <c r="A685" s="120"/>
    </row>
    <row r="686" spans="1:1">
      <c r="A686" s="120"/>
    </row>
    <row r="687" spans="1:1">
      <c r="A687" s="120"/>
    </row>
    <row r="688" spans="1:1">
      <c r="A688" s="120"/>
    </row>
    <row r="689" spans="1:1">
      <c r="A689" s="120"/>
    </row>
    <row r="690" spans="1:1">
      <c r="A690" s="120"/>
    </row>
    <row r="691" spans="1:1">
      <c r="A691" s="120"/>
    </row>
    <row r="692" spans="1:1">
      <c r="A692" s="120"/>
    </row>
    <row r="693" spans="1:1">
      <c r="A693" s="120"/>
    </row>
    <row r="694" spans="1:1">
      <c r="A694" s="120"/>
    </row>
    <row r="695" spans="1:1">
      <c r="A695" s="120"/>
    </row>
    <row r="696" spans="1:1">
      <c r="A696" s="120"/>
    </row>
    <row r="697" spans="1:1">
      <c r="A697" s="120"/>
    </row>
    <row r="698" spans="1:1">
      <c r="A698" s="120"/>
    </row>
    <row r="699" spans="1:1">
      <c r="A699" s="120"/>
    </row>
    <row r="700" spans="1:1">
      <c r="A700" s="120"/>
    </row>
    <row r="701" spans="1:1">
      <c r="A701" s="120"/>
    </row>
    <row r="702" spans="1:1">
      <c r="A702" s="120"/>
    </row>
    <row r="703" spans="1:1">
      <c r="A703" s="120"/>
    </row>
    <row r="704" spans="1:1">
      <c r="A704" s="120"/>
    </row>
    <row r="705" spans="1:1">
      <c r="A705" s="120"/>
    </row>
    <row r="706" spans="1:1">
      <c r="A706" s="120"/>
    </row>
    <row r="707" spans="1:1">
      <c r="A707" s="120"/>
    </row>
    <row r="708" spans="1:1">
      <c r="A708" s="120"/>
    </row>
    <row r="709" spans="1:1">
      <c r="A709" s="120"/>
    </row>
    <row r="710" spans="1:1">
      <c r="A710" s="120"/>
    </row>
    <row r="711" spans="1:1">
      <c r="A711" s="120"/>
    </row>
    <row r="712" spans="1:1">
      <c r="A712" s="120"/>
    </row>
    <row r="713" spans="1:1">
      <c r="A713" s="120"/>
    </row>
    <row r="714" spans="1:1">
      <c r="A714" s="120"/>
    </row>
    <row r="715" spans="1:1">
      <c r="A715" s="120"/>
    </row>
    <row r="716" spans="1:1">
      <c r="A716" s="120"/>
    </row>
    <row r="717" spans="1:1">
      <c r="A717" s="120"/>
    </row>
    <row r="718" spans="1:1">
      <c r="A718" s="120"/>
    </row>
    <row r="719" spans="1:1">
      <c r="A719" s="120"/>
    </row>
    <row r="720" spans="1:1">
      <c r="A720" s="120"/>
    </row>
    <row r="721" spans="1:1">
      <c r="A721" s="120"/>
    </row>
    <row r="722" spans="1:1">
      <c r="A722" s="120"/>
    </row>
    <row r="723" spans="1:1">
      <c r="A723" s="120"/>
    </row>
    <row r="724" spans="1:1">
      <c r="A724" s="120"/>
    </row>
    <row r="725" spans="1:1">
      <c r="A725" s="120"/>
    </row>
    <row r="726" spans="1:1">
      <c r="A726" s="120"/>
    </row>
    <row r="727" spans="1:1">
      <c r="A727" s="120"/>
    </row>
    <row r="728" spans="1:1">
      <c r="A728" s="120"/>
    </row>
    <row r="729" spans="1:1">
      <c r="A729" s="120"/>
    </row>
    <row r="730" spans="1:1">
      <c r="A730" s="120"/>
    </row>
    <row r="731" spans="1:1">
      <c r="A731" s="120"/>
    </row>
    <row r="732" spans="1:1">
      <c r="A732" s="120"/>
    </row>
    <row r="733" spans="1:1">
      <c r="A733" s="120"/>
    </row>
    <row r="734" spans="1:1">
      <c r="A734" s="120"/>
    </row>
    <row r="735" spans="1:1">
      <c r="A735" s="120"/>
    </row>
    <row r="736" spans="1:1">
      <c r="A736" s="120"/>
    </row>
    <row r="737" spans="1:1">
      <c r="A737" s="120"/>
    </row>
    <row r="738" spans="1:1">
      <c r="A738" s="120"/>
    </row>
    <row r="739" spans="1:1">
      <c r="A739" s="120"/>
    </row>
    <row r="740" spans="1:1">
      <c r="A740" s="120"/>
    </row>
    <row r="741" spans="1:1">
      <c r="A741" s="120"/>
    </row>
    <row r="742" spans="1:1">
      <c r="A742" s="120"/>
    </row>
    <row r="743" spans="1:1">
      <c r="A743" s="120"/>
    </row>
    <row r="744" spans="1:1">
      <c r="A744" s="120"/>
    </row>
    <row r="745" spans="1:1">
      <c r="A745" s="120"/>
    </row>
    <row r="746" spans="1:1">
      <c r="A746" s="120"/>
    </row>
    <row r="747" spans="1:1">
      <c r="A747" s="120"/>
    </row>
    <row r="748" spans="1:1">
      <c r="A748" s="120"/>
    </row>
    <row r="749" spans="1:1">
      <c r="A749" s="120"/>
    </row>
    <row r="750" spans="1:1">
      <c r="A750" s="120"/>
    </row>
    <row r="751" spans="1:1">
      <c r="A751" s="120"/>
    </row>
    <row r="752" spans="1:1">
      <c r="A752" s="120"/>
    </row>
    <row r="753" spans="1:1">
      <c r="A753" s="120"/>
    </row>
    <row r="754" spans="1:1">
      <c r="A754" s="120"/>
    </row>
    <row r="755" spans="1:1">
      <c r="A755" s="120"/>
    </row>
    <row r="756" spans="1:1">
      <c r="A756" s="120"/>
    </row>
    <row r="757" spans="1:1">
      <c r="A757" s="120"/>
    </row>
    <row r="758" spans="1:1">
      <c r="A758" s="120"/>
    </row>
    <row r="759" spans="1:1">
      <c r="A759" s="120"/>
    </row>
    <row r="760" spans="1:1">
      <c r="A760" s="120"/>
    </row>
    <row r="761" spans="1:1">
      <c r="A761" s="120"/>
    </row>
    <row r="762" spans="1:1">
      <c r="A762" s="120"/>
    </row>
    <row r="763" spans="1:1">
      <c r="A763" s="120"/>
    </row>
    <row r="764" spans="1:1">
      <c r="A764" s="120"/>
    </row>
    <row r="765" spans="1:1">
      <c r="A765" s="120"/>
    </row>
    <row r="766" spans="1:1">
      <c r="A766" s="120"/>
    </row>
    <row r="767" spans="1:1">
      <c r="A767" s="120"/>
    </row>
    <row r="768" spans="1:1">
      <c r="A768" s="120"/>
    </row>
    <row r="769" spans="1:1">
      <c r="A769" s="120"/>
    </row>
    <row r="770" spans="1:1">
      <c r="A770" s="120"/>
    </row>
    <row r="771" spans="1:1">
      <c r="A771" s="120"/>
    </row>
    <row r="772" spans="1:1">
      <c r="A772" s="120"/>
    </row>
    <row r="773" spans="1:1">
      <c r="A773" s="120"/>
    </row>
    <row r="774" spans="1:1">
      <c r="A774" s="120"/>
    </row>
    <row r="775" spans="1:1">
      <c r="A775" s="120"/>
    </row>
    <row r="776" spans="1:1">
      <c r="A776" s="120"/>
    </row>
    <row r="777" spans="1:1">
      <c r="A777" s="120"/>
    </row>
    <row r="778" spans="1:1">
      <c r="A778" s="120"/>
    </row>
    <row r="779" spans="1:1">
      <c r="A779" s="120"/>
    </row>
    <row r="780" spans="1:1">
      <c r="A780" s="120"/>
    </row>
    <row r="781" spans="1:1">
      <c r="A781" s="120"/>
    </row>
    <row r="782" spans="1:1">
      <c r="A782" s="120"/>
    </row>
    <row r="783" spans="1:1">
      <c r="A783" s="120"/>
    </row>
    <row r="784" spans="1:1">
      <c r="A784" s="120"/>
    </row>
    <row r="785" spans="1:1">
      <c r="A785" s="120"/>
    </row>
    <row r="786" spans="1:1">
      <c r="A786" s="120"/>
    </row>
    <row r="787" spans="1:1">
      <c r="A787" s="120"/>
    </row>
    <row r="788" spans="1:1">
      <c r="A788" s="120"/>
    </row>
    <row r="789" spans="1:1">
      <c r="A789" s="120"/>
    </row>
    <row r="790" spans="1:1">
      <c r="A790" s="120"/>
    </row>
    <row r="791" spans="1:1">
      <c r="A791" s="120"/>
    </row>
    <row r="792" spans="1:1">
      <c r="A792" s="120"/>
    </row>
    <row r="793" spans="1:1">
      <c r="A793" s="120"/>
    </row>
    <row r="794" spans="1:1">
      <c r="A794" s="120"/>
    </row>
    <row r="795" spans="1:1">
      <c r="A795" s="120"/>
    </row>
    <row r="796" spans="1:1">
      <c r="A796" s="120"/>
    </row>
    <row r="797" spans="1:1">
      <c r="A797" s="120"/>
    </row>
    <row r="798" spans="1:1">
      <c r="A798" s="120"/>
    </row>
    <row r="799" spans="1:1">
      <c r="A799" s="120"/>
    </row>
    <row r="800" spans="1:1">
      <c r="A800" s="120"/>
    </row>
    <row r="801" spans="1:1">
      <c r="A801" s="120"/>
    </row>
    <row r="802" spans="1:1">
      <c r="A802" s="120"/>
    </row>
    <row r="803" spans="1:1">
      <c r="A803" s="120"/>
    </row>
    <row r="804" spans="1:1">
      <c r="A804" s="120"/>
    </row>
    <row r="805" spans="1:1">
      <c r="A805" s="120"/>
    </row>
    <row r="806" spans="1:1">
      <c r="A806" s="120"/>
    </row>
    <row r="807" spans="1:1">
      <c r="A807" s="120"/>
    </row>
    <row r="808" spans="1:1">
      <c r="A808" s="120"/>
    </row>
    <row r="809" spans="1:1">
      <c r="A809" s="120"/>
    </row>
    <row r="810" spans="1:1">
      <c r="A810" s="120"/>
    </row>
    <row r="811" spans="1:1">
      <c r="A811" s="120"/>
    </row>
    <row r="812" spans="1:1">
      <c r="A812" s="120"/>
    </row>
    <row r="813" spans="1:1">
      <c r="A813" s="120"/>
    </row>
    <row r="814" spans="1:1">
      <c r="A814" s="120"/>
    </row>
    <row r="815" spans="1:1">
      <c r="A815" s="120"/>
    </row>
    <row r="816" spans="1:1">
      <c r="A816" s="120"/>
    </row>
    <row r="817" spans="1:1">
      <c r="A817" s="120"/>
    </row>
    <row r="818" spans="1:1">
      <c r="A818" s="120"/>
    </row>
    <row r="819" spans="1:1">
      <c r="A819" s="120"/>
    </row>
    <row r="820" spans="1:1">
      <c r="A820" s="120"/>
    </row>
    <row r="821" spans="1:1">
      <c r="A821" s="120"/>
    </row>
    <row r="822" spans="1:1">
      <c r="A822" s="120"/>
    </row>
    <row r="823" spans="1:1">
      <c r="A823" s="120"/>
    </row>
    <row r="824" spans="1:1">
      <c r="A824" s="120"/>
    </row>
    <row r="825" spans="1:1">
      <c r="A825" s="120"/>
    </row>
    <row r="826" spans="1:1">
      <c r="A826" s="120"/>
    </row>
    <row r="827" spans="1:1">
      <c r="A827" s="120"/>
    </row>
    <row r="828" spans="1:1">
      <c r="A828" s="120"/>
    </row>
    <row r="829" spans="1:1">
      <c r="A829" s="120"/>
    </row>
    <row r="830" spans="1:1">
      <c r="A830" s="120"/>
    </row>
    <row r="831" spans="1:1">
      <c r="A831" s="120"/>
    </row>
    <row r="832" spans="1:1">
      <c r="A832" s="120"/>
    </row>
    <row r="833" spans="1:1">
      <c r="A833" s="120"/>
    </row>
    <row r="834" spans="1:1">
      <c r="A834" s="120"/>
    </row>
    <row r="835" spans="1:1">
      <c r="A835" s="120"/>
    </row>
    <row r="836" spans="1:1">
      <c r="A836" s="120"/>
    </row>
    <row r="837" spans="1:1">
      <c r="A837" s="120"/>
    </row>
    <row r="838" spans="1:1">
      <c r="A838" s="120"/>
    </row>
    <row r="839" spans="1:1">
      <c r="A839" s="120"/>
    </row>
    <row r="840" spans="1:1">
      <c r="A840" s="120"/>
    </row>
    <row r="841" spans="1:1">
      <c r="A841" s="120"/>
    </row>
    <row r="842" spans="1:1">
      <c r="A842" s="120"/>
    </row>
    <row r="843" spans="1:1">
      <c r="A843" s="120"/>
    </row>
    <row r="844" spans="1:1">
      <c r="A844" s="120"/>
    </row>
    <row r="845" spans="1:1">
      <c r="A845" s="120"/>
    </row>
    <row r="846" spans="1:1">
      <c r="A846" s="120"/>
    </row>
    <row r="847" spans="1:1">
      <c r="A847" s="120"/>
    </row>
    <row r="848" spans="1:1">
      <c r="A848" s="120"/>
    </row>
    <row r="849" spans="1:1">
      <c r="A849" s="120"/>
    </row>
    <row r="850" spans="1:1">
      <c r="A850" s="120"/>
    </row>
    <row r="851" spans="1:1">
      <c r="A851" s="120"/>
    </row>
    <row r="852" spans="1:1">
      <c r="A852" s="120"/>
    </row>
    <row r="853" spans="1:1">
      <c r="A853" s="120"/>
    </row>
    <row r="854" spans="1:1">
      <c r="A854" s="120"/>
    </row>
    <row r="855" spans="1:1">
      <c r="A855" s="120"/>
    </row>
    <row r="856" spans="1:1">
      <c r="A856" s="120"/>
    </row>
    <row r="857" spans="1:1">
      <c r="A857" s="120"/>
    </row>
    <row r="858" spans="1:1">
      <c r="A858" s="120"/>
    </row>
    <row r="859" spans="1:1">
      <c r="A859" s="120"/>
    </row>
    <row r="860" spans="1:1">
      <c r="A860" s="120"/>
    </row>
    <row r="861" spans="1:1">
      <c r="A861" s="120"/>
    </row>
    <row r="862" spans="1:1">
      <c r="A862" s="120"/>
    </row>
    <row r="863" spans="1:1">
      <c r="A863" s="120"/>
    </row>
    <row r="864" spans="1:1">
      <c r="A864" s="120"/>
    </row>
    <row r="865" spans="1:1">
      <c r="A865" s="120"/>
    </row>
    <row r="866" spans="1:1">
      <c r="A866" s="120"/>
    </row>
    <row r="867" spans="1:1">
      <c r="A867" s="120"/>
    </row>
    <row r="868" spans="1:1">
      <c r="A868" s="120"/>
    </row>
    <row r="869" spans="1:1">
      <c r="A869" s="120"/>
    </row>
    <row r="870" spans="1:1">
      <c r="A870" s="120"/>
    </row>
    <row r="871" spans="1:1">
      <c r="A871" s="120"/>
    </row>
    <row r="872" spans="1:1">
      <c r="A872" s="120"/>
    </row>
    <row r="873" spans="1:1">
      <c r="A873" s="120"/>
    </row>
    <row r="874" spans="1:1">
      <c r="A874" s="120"/>
    </row>
    <row r="875" spans="1:1">
      <c r="A875" s="120"/>
    </row>
    <row r="876" spans="1:1">
      <c r="A876" s="120"/>
    </row>
    <row r="877" spans="1:1">
      <c r="A877" s="120"/>
    </row>
    <row r="878" spans="1:1">
      <c r="A878" s="120"/>
    </row>
    <row r="879" spans="1:1">
      <c r="A879" s="120"/>
    </row>
    <row r="880" spans="1:1">
      <c r="A880" s="120"/>
    </row>
    <row r="881" spans="1:1">
      <c r="A881" s="120"/>
    </row>
    <row r="882" spans="1:1">
      <c r="A882" s="120"/>
    </row>
    <row r="883" spans="1:1">
      <c r="A883" s="120"/>
    </row>
    <row r="884" spans="1:1">
      <c r="A884" s="120"/>
    </row>
    <row r="885" spans="1:1">
      <c r="A885" s="120"/>
    </row>
    <row r="886" spans="1:1">
      <c r="A886" s="120"/>
    </row>
    <row r="887" spans="1:1">
      <c r="A887" s="120"/>
    </row>
    <row r="888" spans="1:1">
      <c r="A888" s="120"/>
    </row>
    <row r="889" spans="1:1">
      <c r="A889" s="120"/>
    </row>
    <row r="890" spans="1:1">
      <c r="A890" s="120"/>
    </row>
    <row r="891" spans="1:1">
      <c r="A891" s="120"/>
    </row>
    <row r="892" spans="1:1">
      <c r="A892" s="120"/>
    </row>
    <row r="893" spans="1:1">
      <c r="A893" s="120"/>
    </row>
    <row r="894" spans="1:1">
      <c r="A894" s="120"/>
    </row>
    <row r="895" spans="1:1">
      <c r="A895" s="120"/>
    </row>
    <row r="896" spans="1:1">
      <c r="A896" s="120"/>
    </row>
    <row r="897" spans="1:1">
      <c r="A897" s="120"/>
    </row>
    <row r="898" spans="1:1">
      <c r="A898" s="120"/>
    </row>
    <row r="899" spans="1:1">
      <c r="A899" s="120"/>
    </row>
    <row r="900" spans="1:1">
      <c r="A900" s="120"/>
    </row>
    <row r="901" spans="1:1">
      <c r="A901" s="120"/>
    </row>
    <row r="902" spans="1:1">
      <c r="A902" s="120"/>
    </row>
    <row r="903" spans="1:1">
      <c r="A903" s="120"/>
    </row>
    <row r="904" spans="1:1">
      <c r="A904" s="120"/>
    </row>
    <row r="905" spans="1:1">
      <c r="A905" s="120"/>
    </row>
    <row r="906" spans="1:1">
      <c r="A906" s="120"/>
    </row>
    <row r="907" spans="1:1">
      <c r="A907" s="120"/>
    </row>
    <row r="908" spans="1:1">
      <c r="A908" s="120"/>
    </row>
    <row r="909" spans="1:1">
      <c r="A909" s="120"/>
    </row>
    <row r="910" spans="1:1">
      <c r="A910" s="120"/>
    </row>
    <row r="911" spans="1:1">
      <c r="A911" s="120"/>
    </row>
    <row r="912" spans="1:1">
      <c r="A912" s="120"/>
    </row>
    <row r="913" spans="1:1">
      <c r="A913" s="120"/>
    </row>
    <row r="914" spans="1:1">
      <c r="A914" s="120"/>
    </row>
    <row r="915" spans="1:1">
      <c r="A915" s="120"/>
    </row>
    <row r="916" spans="1:1">
      <c r="A916" s="120"/>
    </row>
    <row r="917" spans="1:1">
      <c r="A917" s="120"/>
    </row>
    <row r="918" spans="1:1">
      <c r="A918" s="120"/>
    </row>
    <row r="919" spans="1:1">
      <c r="A919" s="120"/>
    </row>
    <row r="920" spans="1:1">
      <c r="A920" s="120"/>
    </row>
    <row r="921" spans="1:1">
      <c r="A921" s="120"/>
    </row>
    <row r="922" spans="1:1">
      <c r="A922" s="120"/>
    </row>
    <row r="923" spans="1:1">
      <c r="A923" s="120"/>
    </row>
    <row r="924" spans="1:1">
      <c r="A924" s="120"/>
    </row>
    <row r="925" spans="1:1">
      <c r="A925" s="120"/>
    </row>
    <row r="926" spans="1:1">
      <c r="A926" s="120"/>
    </row>
    <row r="927" spans="1:1">
      <c r="A927" s="120"/>
    </row>
    <row r="928" spans="1:1">
      <c r="A928" s="120"/>
    </row>
    <row r="929" spans="1:1">
      <c r="A929" s="120"/>
    </row>
    <row r="930" spans="1:1">
      <c r="A930" s="120"/>
    </row>
    <row r="931" spans="1:1">
      <c r="A931" s="120"/>
    </row>
    <row r="932" spans="1:1">
      <c r="A932" s="120"/>
    </row>
    <row r="933" spans="1:1">
      <c r="A933" s="120"/>
    </row>
    <row r="934" spans="1:1">
      <c r="A934" s="120"/>
    </row>
    <row r="935" spans="1:1">
      <c r="A935" s="120"/>
    </row>
    <row r="936" spans="1:1">
      <c r="A936" s="120"/>
    </row>
    <row r="937" spans="1:1">
      <c r="A937" s="120"/>
    </row>
    <row r="938" spans="1:1">
      <c r="A938" s="120"/>
    </row>
    <row r="939" spans="1:1">
      <c r="A939" s="120"/>
    </row>
    <row r="940" spans="1:1">
      <c r="A940" s="120"/>
    </row>
    <row r="941" spans="1:1">
      <c r="A941" s="120"/>
    </row>
    <row r="942" spans="1:1">
      <c r="A942" s="120"/>
    </row>
    <row r="943" spans="1:1">
      <c r="A943" s="120"/>
    </row>
    <row r="944" spans="1:1">
      <c r="A944" s="120"/>
    </row>
    <row r="945" spans="1:1">
      <c r="A945" s="120"/>
    </row>
    <row r="946" spans="1:1">
      <c r="A946" s="120"/>
    </row>
    <row r="947" spans="1:1">
      <c r="A947" s="120"/>
    </row>
    <row r="948" spans="1:1">
      <c r="A948" s="120"/>
    </row>
    <row r="949" spans="1:1">
      <c r="A949" s="120"/>
    </row>
    <row r="950" spans="1:1">
      <c r="A950" s="120"/>
    </row>
    <row r="951" spans="1:1">
      <c r="A951" s="120"/>
    </row>
    <row r="952" spans="1:1">
      <c r="A952" s="120"/>
    </row>
    <row r="953" spans="1:1">
      <c r="A953" s="120"/>
    </row>
    <row r="954" spans="1:1">
      <c r="A954" s="120"/>
    </row>
    <row r="955" spans="1:1">
      <c r="A955" s="120"/>
    </row>
    <row r="956" spans="1:1">
      <c r="A956" s="120"/>
    </row>
    <row r="957" spans="1:1">
      <c r="A957" s="120"/>
    </row>
    <row r="958" spans="1:1">
      <c r="A958" s="120"/>
    </row>
    <row r="959" spans="1:1">
      <c r="A959" s="120"/>
    </row>
    <row r="960" spans="1:1">
      <c r="A960" s="120"/>
    </row>
    <row r="961" spans="1:1">
      <c r="A961" s="120"/>
    </row>
    <row r="962" spans="1:1">
      <c r="A962" s="120"/>
    </row>
    <row r="963" spans="1:1">
      <c r="A963" s="120"/>
    </row>
    <row r="964" spans="1:1">
      <c r="A964" s="120"/>
    </row>
    <row r="965" spans="1:1">
      <c r="A965" s="120"/>
    </row>
    <row r="966" spans="1:1">
      <c r="A966" s="120"/>
    </row>
    <row r="967" spans="1:1">
      <c r="A967" s="120"/>
    </row>
    <row r="968" spans="1:1">
      <c r="A968" s="120"/>
    </row>
    <row r="969" spans="1:1">
      <c r="A969" s="120"/>
    </row>
    <row r="970" spans="1:1">
      <c r="A970" s="120"/>
    </row>
    <row r="971" spans="1:1">
      <c r="A971" s="120"/>
    </row>
    <row r="972" spans="1:1">
      <c r="A972" s="120"/>
    </row>
    <row r="973" spans="1:1">
      <c r="A973" s="120"/>
    </row>
    <row r="974" spans="1:1">
      <c r="A974" s="120"/>
    </row>
    <row r="975" spans="1:1">
      <c r="A975" s="120"/>
    </row>
    <row r="976" spans="1:1">
      <c r="A976" s="120"/>
    </row>
    <row r="977" spans="1:1">
      <c r="A977" s="120"/>
    </row>
    <row r="978" spans="1:1">
      <c r="A978" s="120"/>
    </row>
    <row r="979" spans="1:1">
      <c r="A979" s="120"/>
    </row>
    <row r="980" spans="1:1">
      <c r="A980" s="120"/>
    </row>
    <row r="981" spans="1:1">
      <c r="A981" s="120"/>
    </row>
    <row r="982" spans="1:1">
      <c r="A982" s="120"/>
    </row>
    <row r="983" spans="1:1">
      <c r="A983" s="120"/>
    </row>
    <row r="984" spans="1:1">
      <c r="A984" s="120"/>
    </row>
    <row r="985" spans="1:1">
      <c r="A985" s="120"/>
    </row>
    <row r="986" spans="1:1">
      <c r="A986" s="120"/>
    </row>
    <row r="987" spans="1:1">
      <c r="A987" s="120"/>
    </row>
    <row r="988" spans="1:1">
      <c r="A988" s="120"/>
    </row>
    <row r="989" spans="1:1">
      <c r="A989" s="120"/>
    </row>
    <row r="990" spans="1:1">
      <c r="A990" s="120"/>
    </row>
    <row r="991" spans="1:1">
      <c r="A991" s="120"/>
    </row>
    <row r="992" spans="1:1">
      <c r="A992" s="120"/>
    </row>
    <row r="993" spans="1:1">
      <c r="A993" s="120"/>
    </row>
    <row r="994" spans="1:1">
      <c r="A994" s="120"/>
    </row>
    <row r="995" spans="1:1">
      <c r="A995" s="120"/>
    </row>
    <row r="996" spans="1:1">
      <c r="A996" s="120"/>
    </row>
    <row r="997" spans="1:1">
      <c r="A997" s="120"/>
    </row>
    <row r="998" spans="1:1">
      <c r="A998" s="120"/>
    </row>
    <row r="999" spans="1:1">
      <c r="A999" s="120"/>
    </row>
    <row r="1000" spans="1:1">
      <c r="A1000" s="120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5"/>
  <sheetViews>
    <sheetView workbookViewId="0"/>
  </sheetViews>
  <sheetFormatPr defaultColWidth="12.5703125" defaultRowHeight="15.75" customHeight="1"/>
  <cols>
    <col min="1" max="1" width="10" customWidth="1"/>
    <col min="3" max="3" width="32.42578125" customWidth="1"/>
    <col min="4" max="4" width="13.28515625" customWidth="1"/>
    <col min="6" max="6" width="9.28515625" customWidth="1"/>
    <col min="7" max="7" width="34.140625" customWidth="1"/>
    <col min="8" max="8" width="5.7109375" customWidth="1"/>
    <col min="9" max="9" width="22.28515625" customWidth="1"/>
  </cols>
  <sheetData>
    <row r="1" spans="1:10">
      <c r="A1" s="1" t="s">
        <v>304</v>
      </c>
      <c r="B1" s="1" t="s">
        <v>5</v>
      </c>
      <c r="C1" s="1" t="s">
        <v>6</v>
      </c>
      <c r="D1" s="1" t="s">
        <v>725</v>
      </c>
      <c r="E1" s="1" t="s">
        <v>2207</v>
      </c>
      <c r="F1" s="1" t="s">
        <v>2208</v>
      </c>
      <c r="G1" s="124" t="s">
        <v>8</v>
      </c>
      <c r="H1" s="124" t="s">
        <v>9</v>
      </c>
      <c r="I1" s="124" t="s">
        <v>2209</v>
      </c>
      <c r="J1" s="12" t="s">
        <v>2210</v>
      </c>
    </row>
    <row r="2" spans="1:10">
      <c r="A2" s="125"/>
      <c r="B2" s="126"/>
      <c r="C2" s="126"/>
      <c r="D2" s="127"/>
      <c r="E2" s="127"/>
      <c r="F2" s="127" t="s">
        <v>15</v>
      </c>
      <c r="G2" s="126"/>
      <c r="H2" s="128"/>
      <c r="I2" s="126"/>
    </row>
    <row r="3" spans="1:10">
      <c r="A3" s="129" t="s">
        <v>891</v>
      </c>
      <c r="B3" s="113" t="s">
        <v>42</v>
      </c>
      <c r="C3" s="113" t="s">
        <v>2211</v>
      </c>
      <c r="D3" s="130" t="s">
        <v>19</v>
      </c>
      <c r="E3" s="130">
        <v>1</v>
      </c>
      <c r="F3" s="130" t="s">
        <v>2212</v>
      </c>
      <c r="G3" s="113" t="s">
        <v>44</v>
      </c>
      <c r="H3" s="131"/>
      <c r="I3" s="113" t="s">
        <v>25</v>
      </c>
      <c r="J3" s="132" t="s">
        <v>45</v>
      </c>
    </row>
    <row r="4" spans="1:10">
      <c r="A4" s="129" t="s">
        <v>891</v>
      </c>
      <c r="B4" s="113" t="s">
        <v>2213</v>
      </c>
      <c r="C4" s="113" t="s">
        <v>2214</v>
      </c>
      <c r="D4" s="130" t="s">
        <v>19</v>
      </c>
      <c r="E4" s="130">
        <v>1</v>
      </c>
      <c r="F4" s="130" t="s">
        <v>2215</v>
      </c>
      <c r="G4" s="113" t="s">
        <v>2216</v>
      </c>
      <c r="H4" s="131"/>
      <c r="I4" s="113" t="s">
        <v>25</v>
      </c>
      <c r="J4" s="132" t="s">
        <v>61</v>
      </c>
    </row>
    <row r="5" spans="1:10">
      <c r="A5" s="129" t="s">
        <v>891</v>
      </c>
      <c r="B5" s="113" t="s">
        <v>83</v>
      </c>
      <c r="C5" s="113" t="s">
        <v>2217</v>
      </c>
      <c r="D5" s="130" t="s">
        <v>19</v>
      </c>
      <c r="E5" s="130">
        <v>2</v>
      </c>
      <c r="F5" s="130" t="s">
        <v>2212</v>
      </c>
      <c r="G5" s="113" t="s">
        <v>85</v>
      </c>
      <c r="H5" s="131"/>
      <c r="I5" s="113" t="s">
        <v>42</v>
      </c>
      <c r="J5" s="132" t="s">
        <v>86</v>
      </c>
    </row>
    <row r="6" spans="1:10">
      <c r="A6" s="129" t="s">
        <v>891</v>
      </c>
      <c r="B6" s="113" t="s">
        <v>144</v>
      </c>
      <c r="C6" s="113" t="s">
        <v>523</v>
      </c>
      <c r="D6" s="130" t="s">
        <v>19</v>
      </c>
      <c r="E6" s="130">
        <v>2</v>
      </c>
      <c r="F6" s="130" t="s">
        <v>2215</v>
      </c>
      <c r="G6" s="113" t="s">
        <v>146</v>
      </c>
      <c r="H6" s="131"/>
      <c r="I6" s="113" t="s">
        <v>42</v>
      </c>
      <c r="J6" s="133" t="s">
        <v>147</v>
      </c>
    </row>
    <row r="7" spans="1:10">
      <c r="A7" s="129" t="s">
        <v>891</v>
      </c>
      <c r="B7" s="113" t="s">
        <v>2218</v>
      </c>
      <c r="C7" s="113" t="s">
        <v>2219</v>
      </c>
      <c r="D7" s="130" t="s">
        <v>19</v>
      </c>
      <c r="E7" s="130">
        <v>2</v>
      </c>
      <c r="F7" s="130" t="s">
        <v>2215</v>
      </c>
      <c r="G7" s="113" t="s">
        <v>1452</v>
      </c>
      <c r="H7" s="131"/>
      <c r="I7" s="113" t="s">
        <v>50</v>
      </c>
      <c r="J7" s="133" t="s">
        <v>52</v>
      </c>
    </row>
    <row r="8" spans="1:10">
      <c r="A8" s="129" t="s">
        <v>891</v>
      </c>
      <c r="B8" s="113" t="s">
        <v>2220</v>
      </c>
      <c r="C8" s="134" t="s">
        <v>2221</v>
      </c>
      <c r="D8" s="130"/>
      <c r="E8" s="130">
        <v>2</v>
      </c>
      <c r="F8" s="130" t="s">
        <v>2215</v>
      </c>
      <c r="G8" s="113" t="s">
        <v>2222</v>
      </c>
      <c r="H8" s="131"/>
      <c r="I8" s="113" t="s">
        <v>50</v>
      </c>
    </row>
    <row r="9" spans="1:10">
      <c r="A9" s="129" t="s">
        <v>891</v>
      </c>
      <c r="B9" s="113" t="s">
        <v>77</v>
      </c>
      <c r="C9" s="113" t="s">
        <v>511</v>
      </c>
      <c r="D9" s="130" t="s">
        <v>19</v>
      </c>
      <c r="E9" s="130">
        <v>3</v>
      </c>
      <c r="F9" s="130" t="s">
        <v>2215</v>
      </c>
      <c r="G9" s="113" t="s">
        <v>79</v>
      </c>
      <c r="H9" s="131"/>
      <c r="I9" s="113" t="s">
        <v>2223</v>
      </c>
      <c r="J9" s="133" t="s">
        <v>81</v>
      </c>
    </row>
    <row r="10" spans="1:10">
      <c r="A10" s="129" t="s">
        <v>891</v>
      </c>
      <c r="B10" s="113" t="s">
        <v>2224</v>
      </c>
      <c r="C10" s="134" t="s">
        <v>2225</v>
      </c>
      <c r="D10" s="130"/>
      <c r="E10" s="130">
        <v>3</v>
      </c>
      <c r="F10" s="130" t="s">
        <v>2215</v>
      </c>
      <c r="G10" s="113" t="s">
        <v>1473</v>
      </c>
      <c r="H10" s="131"/>
      <c r="I10" s="113" t="s">
        <v>2218</v>
      </c>
    </row>
    <row r="11" spans="1:10">
      <c r="A11" s="129" t="s">
        <v>891</v>
      </c>
      <c r="B11" s="113" t="s">
        <v>2226</v>
      </c>
      <c r="C11" s="134" t="s">
        <v>2227</v>
      </c>
      <c r="D11" s="130"/>
      <c r="E11" s="130">
        <v>3</v>
      </c>
      <c r="F11" s="130" t="s">
        <v>2215</v>
      </c>
      <c r="G11" s="113" t="s">
        <v>2228</v>
      </c>
      <c r="H11" s="131"/>
      <c r="I11" s="113" t="s">
        <v>83</v>
      </c>
    </row>
    <row r="12" spans="1:10">
      <c r="A12" s="129" t="s">
        <v>891</v>
      </c>
      <c r="B12" s="113" t="s">
        <v>177</v>
      </c>
      <c r="C12" s="113" t="s">
        <v>2229</v>
      </c>
      <c r="D12" s="130" t="s">
        <v>19</v>
      </c>
      <c r="E12" s="130">
        <v>4</v>
      </c>
      <c r="F12" s="130" t="s">
        <v>2215</v>
      </c>
      <c r="G12" s="113" t="s">
        <v>1465</v>
      </c>
      <c r="H12" s="131"/>
      <c r="I12" s="113" t="s">
        <v>2226</v>
      </c>
      <c r="J12" s="133" t="s">
        <v>179</v>
      </c>
    </row>
    <row r="13" spans="1:10">
      <c r="A13" s="13" t="s">
        <v>1254</v>
      </c>
      <c r="B13" s="12" t="s">
        <v>101</v>
      </c>
      <c r="C13" s="12" t="s">
        <v>2230</v>
      </c>
      <c r="D13" s="13" t="s">
        <v>19</v>
      </c>
      <c r="E13" s="13">
        <v>3</v>
      </c>
      <c r="F13" s="13">
        <v>4</v>
      </c>
      <c r="G13" s="12" t="s">
        <v>103</v>
      </c>
      <c r="I13" s="12" t="s">
        <v>2231</v>
      </c>
      <c r="J13" s="133" t="s">
        <v>106</v>
      </c>
    </row>
    <row r="14" spans="1:10">
      <c r="A14" s="13" t="s">
        <v>1254</v>
      </c>
      <c r="B14" s="111" t="s">
        <v>131</v>
      </c>
      <c r="C14" s="12" t="s">
        <v>2232</v>
      </c>
      <c r="D14" s="13" t="s">
        <v>19</v>
      </c>
      <c r="E14" s="13">
        <v>4</v>
      </c>
      <c r="F14" s="13">
        <v>4</v>
      </c>
      <c r="G14" s="12" t="s">
        <v>133</v>
      </c>
      <c r="I14" s="12" t="s">
        <v>101</v>
      </c>
      <c r="J14" s="133" t="s">
        <v>135</v>
      </c>
    </row>
    <row r="15" spans="1:10">
      <c r="A15" s="13" t="s">
        <v>1254</v>
      </c>
      <c r="B15" s="12" t="s">
        <v>88</v>
      </c>
      <c r="C15" s="12" t="s">
        <v>2233</v>
      </c>
      <c r="D15" s="13" t="s">
        <v>19</v>
      </c>
      <c r="E15" s="13">
        <v>3</v>
      </c>
      <c r="F15" s="13">
        <v>4</v>
      </c>
      <c r="G15" s="12" t="s">
        <v>90</v>
      </c>
      <c r="I15" s="12" t="s">
        <v>2218</v>
      </c>
      <c r="J15" s="133" t="s">
        <v>92</v>
      </c>
    </row>
    <row r="16" spans="1:10">
      <c r="A16" s="13" t="s">
        <v>1254</v>
      </c>
      <c r="B16" s="111" t="s">
        <v>124</v>
      </c>
      <c r="C16" s="111" t="s">
        <v>2234</v>
      </c>
      <c r="D16" s="13" t="s">
        <v>19</v>
      </c>
      <c r="E16" s="13">
        <v>4</v>
      </c>
      <c r="F16" s="13">
        <v>4</v>
      </c>
      <c r="G16" s="12" t="s">
        <v>126</v>
      </c>
      <c r="I16" s="12" t="s">
        <v>88</v>
      </c>
      <c r="J16" s="133" t="s">
        <v>129</v>
      </c>
    </row>
    <row r="17" spans="1:9">
      <c r="A17" s="13" t="s">
        <v>1254</v>
      </c>
      <c r="B17" s="12" t="s">
        <v>2235</v>
      </c>
      <c r="C17" s="12" t="s">
        <v>628</v>
      </c>
      <c r="D17" s="13" t="s">
        <v>19</v>
      </c>
      <c r="E17" s="13">
        <v>6</v>
      </c>
      <c r="F17" s="13">
        <v>4</v>
      </c>
      <c r="G17" s="12" t="s">
        <v>254</v>
      </c>
      <c r="I17" s="12" t="s">
        <v>2236</v>
      </c>
    </row>
    <row r="18" spans="1:9">
      <c r="A18" s="13" t="s">
        <v>168</v>
      </c>
      <c r="B18" s="12" t="s">
        <v>168</v>
      </c>
      <c r="C18" s="12" t="s">
        <v>169</v>
      </c>
      <c r="D18" s="13" t="s">
        <v>19</v>
      </c>
      <c r="E18" s="13">
        <v>4</v>
      </c>
      <c r="F18" s="13">
        <v>4</v>
      </c>
      <c r="G18" s="12" t="s">
        <v>2237</v>
      </c>
      <c r="I18" s="12" t="s">
        <v>2238</v>
      </c>
    </row>
    <row r="19" spans="1:9">
      <c r="A19" s="13" t="s">
        <v>168</v>
      </c>
      <c r="B19" s="12" t="s">
        <v>206</v>
      </c>
      <c r="C19" s="12" t="s">
        <v>207</v>
      </c>
      <c r="D19" s="13" t="s">
        <v>19</v>
      </c>
      <c r="E19" s="13">
        <v>5</v>
      </c>
      <c r="F19" s="13">
        <v>4</v>
      </c>
      <c r="G19" s="12" t="s">
        <v>2239</v>
      </c>
      <c r="I19" s="12" t="s">
        <v>168</v>
      </c>
    </row>
    <row r="20" spans="1:9">
      <c r="A20" s="13" t="s">
        <v>168</v>
      </c>
      <c r="B20" s="12" t="s">
        <v>2240</v>
      </c>
      <c r="C20" s="12" t="s">
        <v>261</v>
      </c>
      <c r="D20" s="13" t="s">
        <v>308</v>
      </c>
      <c r="E20" s="13">
        <v>5</v>
      </c>
      <c r="F20" s="13">
        <v>4</v>
      </c>
      <c r="G20" s="12" t="s">
        <v>262</v>
      </c>
      <c r="I20" s="12" t="s">
        <v>206</v>
      </c>
    </row>
    <row r="21" spans="1:9">
      <c r="A21" s="13" t="s">
        <v>168</v>
      </c>
      <c r="B21" s="12" t="s">
        <v>313</v>
      </c>
      <c r="C21" s="12" t="s">
        <v>664</v>
      </c>
      <c r="D21" s="13" t="s">
        <v>308</v>
      </c>
      <c r="E21" s="13">
        <v>5</v>
      </c>
      <c r="F21" s="13">
        <v>4</v>
      </c>
      <c r="G21" s="12" t="s">
        <v>2241</v>
      </c>
    </row>
    <row r="22" spans="1:9">
      <c r="A22" s="13" t="s">
        <v>168</v>
      </c>
      <c r="B22" s="12" t="s">
        <v>2242</v>
      </c>
      <c r="C22" s="12" t="s">
        <v>2243</v>
      </c>
      <c r="D22" s="13" t="s">
        <v>308</v>
      </c>
      <c r="E22" s="13">
        <v>5</v>
      </c>
      <c r="F22" s="13">
        <v>4</v>
      </c>
      <c r="G22" s="135" t="s">
        <v>2244</v>
      </c>
      <c r="H22" s="117" t="s">
        <v>2245</v>
      </c>
      <c r="I22" s="12" t="s">
        <v>2246</v>
      </c>
    </row>
    <row r="23" spans="1:9">
      <c r="A23" s="13" t="s">
        <v>168</v>
      </c>
      <c r="B23" s="12" t="s">
        <v>2247</v>
      </c>
      <c r="C23" s="12" t="s">
        <v>2248</v>
      </c>
      <c r="D23" s="13" t="s">
        <v>308</v>
      </c>
      <c r="E23" s="13">
        <v>5</v>
      </c>
      <c r="F23" s="13">
        <v>2</v>
      </c>
      <c r="G23" s="12" t="s">
        <v>2249</v>
      </c>
    </row>
    <row r="24" spans="1:9">
      <c r="A24" s="13" t="s">
        <v>168</v>
      </c>
      <c r="B24" s="12" t="s">
        <v>2250</v>
      </c>
      <c r="C24" s="12" t="s">
        <v>2251</v>
      </c>
      <c r="D24" s="13" t="s">
        <v>308</v>
      </c>
      <c r="E24" s="13">
        <v>5</v>
      </c>
      <c r="F24" s="13">
        <v>2</v>
      </c>
      <c r="G24" s="12" t="s">
        <v>2252</v>
      </c>
    </row>
    <row r="25" spans="1:9">
      <c r="A25" s="13" t="s">
        <v>307</v>
      </c>
      <c r="B25" s="12" t="s">
        <v>29</v>
      </c>
      <c r="C25" s="12" t="s">
        <v>30</v>
      </c>
      <c r="D25" s="13" t="s">
        <v>19</v>
      </c>
      <c r="E25" s="13">
        <v>1</v>
      </c>
      <c r="F25" s="13">
        <v>6</v>
      </c>
    </row>
    <row r="26" spans="1:9">
      <c r="A26" s="13" t="s">
        <v>307</v>
      </c>
      <c r="B26" s="12" t="s">
        <v>71</v>
      </c>
      <c r="C26" s="12" t="s">
        <v>72</v>
      </c>
      <c r="D26" s="13" t="s">
        <v>19</v>
      </c>
      <c r="E26" s="13">
        <v>2</v>
      </c>
      <c r="F26" s="13">
        <v>4</v>
      </c>
    </row>
    <row r="27" spans="1:9">
      <c r="A27" s="13" t="s">
        <v>307</v>
      </c>
      <c r="B27" s="12" t="s">
        <v>21</v>
      </c>
      <c r="C27" s="12" t="s">
        <v>2253</v>
      </c>
      <c r="D27" s="13" t="s">
        <v>19</v>
      </c>
      <c r="E27" s="13">
        <v>1</v>
      </c>
      <c r="F27" s="13">
        <v>4</v>
      </c>
    </row>
    <row r="28" spans="1:9">
      <c r="A28" s="49"/>
      <c r="D28" s="49"/>
      <c r="E28" s="49"/>
      <c r="F28" s="49"/>
    </row>
    <row r="29" spans="1:9">
      <c r="A29" s="49"/>
      <c r="B29" s="136"/>
      <c r="D29" s="49"/>
      <c r="E29" s="49"/>
      <c r="F29" s="49"/>
    </row>
    <row r="30" spans="1:9">
      <c r="A30" s="49"/>
      <c r="D30" s="49"/>
      <c r="E30" s="49"/>
      <c r="F30" s="49"/>
    </row>
    <row r="31" spans="1:9">
      <c r="A31" s="49"/>
      <c r="D31" s="49"/>
      <c r="E31" s="49"/>
      <c r="F31" s="49"/>
    </row>
    <row r="32" spans="1:9">
      <c r="A32" s="49"/>
      <c r="D32" s="49"/>
      <c r="E32" s="49"/>
      <c r="F32" s="49"/>
    </row>
    <row r="33" spans="1:6">
      <c r="A33" s="49"/>
      <c r="D33" s="49"/>
      <c r="E33" s="49"/>
      <c r="F33" s="49"/>
    </row>
    <row r="34" spans="1:6">
      <c r="A34" s="49"/>
      <c r="D34" s="49"/>
      <c r="E34" s="49"/>
      <c r="F34" s="49"/>
    </row>
    <row r="35" spans="1:6">
      <c r="A35" s="49"/>
      <c r="D35" s="49"/>
      <c r="E35" s="49"/>
      <c r="F35" s="49"/>
    </row>
    <row r="36" spans="1:6">
      <c r="A36" s="49"/>
      <c r="D36" s="49"/>
      <c r="E36" s="49"/>
      <c r="F36" s="49"/>
    </row>
    <row r="37" spans="1:6">
      <c r="A37" s="49"/>
      <c r="D37" s="49"/>
      <c r="E37" s="49"/>
      <c r="F37" s="49"/>
    </row>
    <row r="38" spans="1:6">
      <c r="A38" s="49"/>
      <c r="D38" s="49"/>
      <c r="E38" s="49"/>
      <c r="F38" s="49"/>
    </row>
    <row r="39" spans="1:6">
      <c r="A39" s="49"/>
      <c r="D39" s="49"/>
      <c r="E39" s="49"/>
      <c r="F39" s="49"/>
    </row>
    <row r="40" spans="1:6">
      <c r="A40" s="49"/>
      <c r="D40" s="49"/>
      <c r="E40" s="49"/>
      <c r="F40" s="49"/>
    </row>
    <row r="41" spans="1:6">
      <c r="A41" s="49"/>
      <c r="D41" s="49"/>
      <c r="E41" s="49"/>
      <c r="F41" s="49"/>
    </row>
    <row r="42" spans="1:6">
      <c r="A42" s="49"/>
      <c r="D42" s="49"/>
      <c r="E42" s="49"/>
      <c r="F42" s="49"/>
    </row>
    <row r="43" spans="1:6">
      <c r="A43" s="49"/>
      <c r="D43" s="49"/>
      <c r="E43" s="49"/>
      <c r="F43" s="49"/>
    </row>
    <row r="44" spans="1:6">
      <c r="A44" s="49"/>
      <c r="D44" s="49"/>
      <c r="E44" s="49"/>
      <c r="F44" s="49"/>
    </row>
    <row r="45" spans="1:6">
      <c r="A45" s="49"/>
      <c r="D45" s="49"/>
      <c r="E45" s="49"/>
      <c r="F45" s="49"/>
    </row>
    <row r="46" spans="1:6">
      <c r="A46" s="49"/>
      <c r="D46" s="49"/>
      <c r="E46" s="49"/>
      <c r="F46" s="49"/>
    </row>
    <row r="47" spans="1:6">
      <c r="A47" s="49"/>
      <c r="D47" s="49"/>
      <c r="E47" s="49"/>
      <c r="F47" s="49"/>
    </row>
    <row r="48" spans="1:6">
      <c r="A48" s="49"/>
      <c r="D48" s="49"/>
      <c r="E48" s="49"/>
      <c r="F48" s="49"/>
    </row>
    <row r="49" spans="1:6">
      <c r="A49" s="49"/>
      <c r="D49" s="49"/>
      <c r="E49" s="49"/>
      <c r="F49" s="49"/>
    </row>
    <row r="50" spans="1:6">
      <c r="A50" s="49"/>
      <c r="D50" s="49"/>
      <c r="E50" s="49"/>
      <c r="F50" s="49"/>
    </row>
    <row r="51" spans="1:6">
      <c r="A51" s="49"/>
      <c r="D51" s="49"/>
      <c r="E51" s="49"/>
      <c r="F51" s="49"/>
    </row>
    <row r="52" spans="1:6">
      <c r="A52" s="49"/>
      <c r="D52" s="49"/>
      <c r="E52" s="49"/>
      <c r="F52" s="49"/>
    </row>
    <row r="53" spans="1:6">
      <c r="A53" s="49"/>
      <c r="D53" s="49"/>
      <c r="E53" s="49"/>
      <c r="F53" s="49"/>
    </row>
    <row r="54" spans="1:6">
      <c r="A54" s="49"/>
      <c r="D54" s="49"/>
      <c r="E54" s="49"/>
      <c r="F54" s="49"/>
    </row>
    <row r="55" spans="1:6">
      <c r="A55" s="49"/>
      <c r="D55" s="49"/>
      <c r="E55" s="49"/>
      <c r="F55" s="49"/>
    </row>
    <row r="56" spans="1:6">
      <c r="A56" s="49"/>
      <c r="D56" s="49"/>
      <c r="E56" s="49"/>
      <c r="F56" s="49"/>
    </row>
    <row r="57" spans="1:6">
      <c r="A57" s="49"/>
      <c r="D57" s="49"/>
      <c r="E57" s="49"/>
      <c r="F57" s="49"/>
    </row>
    <row r="58" spans="1:6">
      <c r="A58" s="49"/>
      <c r="D58" s="49"/>
      <c r="E58" s="49"/>
      <c r="F58" s="49"/>
    </row>
    <row r="59" spans="1:6">
      <c r="A59" s="49"/>
      <c r="D59" s="49"/>
      <c r="E59" s="49"/>
      <c r="F59" s="49"/>
    </row>
    <row r="60" spans="1:6">
      <c r="A60" s="49"/>
      <c r="D60" s="49"/>
      <c r="E60" s="49"/>
      <c r="F60" s="49"/>
    </row>
    <row r="61" spans="1:6">
      <c r="A61" s="49"/>
      <c r="D61" s="49"/>
      <c r="E61" s="49"/>
      <c r="F61" s="49"/>
    </row>
    <row r="62" spans="1:6">
      <c r="A62" s="49"/>
      <c r="D62" s="49"/>
      <c r="E62" s="49"/>
      <c r="F62" s="49"/>
    </row>
    <row r="63" spans="1:6">
      <c r="A63" s="49"/>
      <c r="D63" s="49"/>
      <c r="E63" s="49"/>
      <c r="F63" s="49"/>
    </row>
    <row r="64" spans="1:6">
      <c r="A64" s="49"/>
      <c r="D64" s="49"/>
      <c r="E64" s="49"/>
      <c r="F64" s="49"/>
    </row>
    <row r="65" spans="1:6">
      <c r="A65" s="49"/>
      <c r="D65" s="49"/>
      <c r="E65" s="49"/>
      <c r="F65" s="49"/>
    </row>
    <row r="66" spans="1:6">
      <c r="A66" s="49"/>
      <c r="D66" s="49"/>
      <c r="E66" s="49"/>
      <c r="F66" s="49"/>
    </row>
    <row r="67" spans="1:6">
      <c r="A67" s="49"/>
      <c r="D67" s="49"/>
      <c r="E67" s="49"/>
      <c r="F67" s="49"/>
    </row>
    <row r="68" spans="1:6">
      <c r="A68" s="49"/>
      <c r="D68" s="49"/>
      <c r="E68" s="49"/>
      <c r="F68" s="49"/>
    </row>
    <row r="69" spans="1:6">
      <c r="A69" s="49"/>
      <c r="D69" s="49"/>
      <c r="E69" s="49"/>
      <c r="F69" s="49"/>
    </row>
    <row r="70" spans="1:6">
      <c r="A70" s="49"/>
      <c r="D70" s="49"/>
      <c r="E70" s="49"/>
      <c r="F70" s="49"/>
    </row>
    <row r="71" spans="1:6">
      <c r="A71" s="49"/>
      <c r="D71" s="49"/>
      <c r="E71" s="49"/>
      <c r="F71" s="49"/>
    </row>
    <row r="72" spans="1:6">
      <c r="A72" s="49"/>
      <c r="D72" s="49"/>
      <c r="E72" s="49"/>
      <c r="F72" s="49"/>
    </row>
    <row r="73" spans="1:6">
      <c r="A73" s="49"/>
      <c r="D73" s="49"/>
      <c r="E73" s="49"/>
      <c r="F73" s="49"/>
    </row>
    <row r="74" spans="1:6">
      <c r="A74" s="49"/>
      <c r="D74" s="49"/>
      <c r="E74" s="49"/>
      <c r="F74" s="49"/>
    </row>
    <row r="75" spans="1:6">
      <c r="A75" s="49"/>
      <c r="D75" s="49"/>
      <c r="E75" s="49"/>
      <c r="F75" s="49"/>
    </row>
    <row r="76" spans="1:6">
      <c r="A76" s="49"/>
      <c r="D76" s="49"/>
      <c r="E76" s="49"/>
      <c r="F76" s="49"/>
    </row>
    <row r="77" spans="1:6">
      <c r="A77" s="49"/>
      <c r="D77" s="49"/>
      <c r="E77" s="49"/>
      <c r="F77" s="49"/>
    </row>
    <row r="78" spans="1:6">
      <c r="A78" s="49"/>
      <c r="D78" s="49"/>
      <c r="E78" s="49"/>
      <c r="F78" s="49"/>
    </row>
    <row r="79" spans="1:6">
      <c r="A79" s="49"/>
      <c r="D79" s="49"/>
      <c r="E79" s="49"/>
      <c r="F79" s="49"/>
    </row>
    <row r="80" spans="1:6">
      <c r="A80" s="49"/>
      <c r="D80" s="49"/>
      <c r="E80" s="49"/>
      <c r="F80" s="49"/>
    </row>
    <row r="81" spans="1:6">
      <c r="A81" s="49"/>
      <c r="D81" s="49"/>
      <c r="E81" s="49"/>
      <c r="F81" s="49"/>
    </row>
    <row r="82" spans="1:6">
      <c r="A82" s="49"/>
      <c r="D82" s="49"/>
      <c r="E82" s="49"/>
      <c r="F82" s="49"/>
    </row>
    <row r="83" spans="1:6">
      <c r="A83" s="49"/>
      <c r="D83" s="49"/>
      <c r="E83" s="49"/>
      <c r="F83" s="49"/>
    </row>
    <row r="84" spans="1:6">
      <c r="A84" s="49"/>
      <c r="D84" s="49"/>
      <c r="E84" s="49"/>
      <c r="F84" s="49"/>
    </row>
    <row r="85" spans="1:6">
      <c r="A85" s="49"/>
      <c r="D85" s="49"/>
      <c r="E85" s="49"/>
      <c r="F85" s="49"/>
    </row>
    <row r="86" spans="1:6">
      <c r="A86" s="49"/>
      <c r="D86" s="49"/>
      <c r="E86" s="49"/>
      <c r="F86" s="49"/>
    </row>
    <row r="87" spans="1:6">
      <c r="A87" s="49"/>
      <c r="D87" s="49"/>
      <c r="E87" s="49"/>
      <c r="F87" s="49"/>
    </row>
    <row r="88" spans="1:6">
      <c r="A88" s="49"/>
      <c r="D88" s="49"/>
      <c r="E88" s="49"/>
      <c r="F88" s="49"/>
    </row>
    <row r="89" spans="1:6">
      <c r="A89" s="49"/>
      <c r="D89" s="49"/>
      <c r="E89" s="49"/>
      <c r="F89" s="49"/>
    </row>
    <row r="90" spans="1:6">
      <c r="A90" s="49"/>
      <c r="D90" s="49"/>
      <c r="E90" s="49"/>
      <c r="F90" s="49"/>
    </row>
    <row r="91" spans="1:6">
      <c r="A91" s="49"/>
      <c r="D91" s="49"/>
      <c r="E91" s="49"/>
      <c r="F91" s="49"/>
    </row>
    <row r="92" spans="1:6">
      <c r="A92" s="49"/>
      <c r="D92" s="49"/>
      <c r="E92" s="49"/>
      <c r="F92" s="49"/>
    </row>
    <row r="93" spans="1:6">
      <c r="A93" s="49"/>
      <c r="D93" s="49"/>
      <c r="E93" s="49"/>
      <c r="F93" s="49"/>
    </row>
    <row r="94" spans="1:6">
      <c r="A94" s="49"/>
      <c r="D94" s="49"/>
      <c r="E94" s="49"/>
      <c r="F94" s="49"/>
    </row>
    <row r="95" spans="1:6">
      <c r="A95" s="49"/>
      <c r="D95" s="49"/>
      <c r="E95" s="49"/>
      <c r="F95" s="49"/>
    </row>
    <row r="96" spans="1:6">
      <c r="A96" s="49"/>
      <c r="D96" s="49"/>
      <c r="E96" s="49"/>
      <c r="F96" s="49"/>
    </row>
    <row r="97" spans="1:6">
      <c r="A97" s="49"/>
      <c r="D97" s="49"/>
      <c r="E97" s="49"/>
      <c r="F97" s="49"/>
    </row>
    <row r="98" spans="1:6">
      <c r="A98" s="49"/>
      <c r="D98" s="49"/>
      <c r="E98" s="49"/>
      <c r="F98" s="49"/>
    </row>
    <row r="99" spans="1:6">
      <c r="A99" s="49"/>
      <c r="D99" s="49"/>
      <c r="E99" s="49"/>
      <c r="F99" s="49"/>
    </row>
    <row r="100" spans="1:6">
      <c r="A100" s="49"/>
      <c r="D100" s="49"/>
      <c r="E100" s="49"/>
      <c r="F100" s="49"/>
    </row>
    <row r="101" spans="1:6">
      <c r="A101" s="49"/>
      <c r="D101" s="49"/>
      <c r="E101" s="49"/>
      <c r="F101" s="49"/>
    </row>
    <row r="102" spans="1:6">
      <c r="A102" s="49"/>
      <c r="D102" s="49"/>
      <c r="E102" s="49"/>
      <c r="F102" s="49"/>
    </row>
    <row r="103" spans="1:6">
      <c r="A103" s="49"/>
      <c r="D103" s="49"/>
      <c r="E103" s="49"/>
      <c r="F103" s="49"/>
    </row>
    <row r="104" spans="1:6">
      <c r="A104" s="49"/>
      <c r="D104" s="49"/>
      <c r="E104" s="49"/>
      <c r="F104" s="49"/>
    </row>
    <row r="105" spans="1:6">
      <c r="A105" s="49"/>
      <c r="D105" s="49"/>
      <c r="E105" s="49"/>
      <c r="F105" s="49"/>
    </row>
    <row r="106" spans="1:6">
      <c r="A106" s="49"/>
      <c r="D106" s="49"/>
      <c r="E106" s="49"/>
      <c r="F106" s="49"/>
    </row>
    <row r="107" spans="1:6">
      <c r="A107" s="49"/>
      <c r="D107" s="49"/>
      <c r="E107" s="49"/>
      <c r="F107" s="49"/>
    </row>
    <row r="108" spans="1:6">
      <c r="A108" s="49"/>
      <c r="D108" s="49"/>
      <c r="E108" s="49"/>
      <c r="F108" s="49"/>
    </row>
    <row r="109" spans="1:6">
      <c r="A109" s="49"/>
      <c r="D109" s="49"/>
      <c r="E109" s="49"/>
      <c r="F109" s="49"/>
    </row>
    <row r="110" spans="1:6">
      <c r="A110" s="49"/>
      <c r="D110" s="49"/>
      <c r="E110" s="49"/>
      <c r="F110" s="49"/>
    </row>
    <row r="111" spans="1:6">
      <c r="A111" s="49"/>
      <c r="D111" s="49"/>
      <c r="E111" s="49"/>
      <c r="F111" s="49"/>
    </row>
    <row r="112" spans="1:6">
      <c r="A112" s="49"/>
      <c r="D112" s="49"/>
      <c r="E112" s="49"/>
      <c r="F112" s="49"/>
    </row>
    <row r="113" spans="1:6">
      <c r="A113" s="49"/>
      <c r="D113" s="49"/>
      <c r="E113" s="49"/>
      <c r="F113" s="49"/>
    </row>
    <row r="114" spans="1:6">
      <c r="A114" s="49"/>
      <c r="D114" s="49"/>
      <c r="E114" s="49"/>
      <c r="F114" s="49"/>
    </row>
    <row r="115" spans="1:6">
      <c r="A115" s="49"/>
      <c r="D115" s="49"/>
      <c r="E115" s="49"/>
      <c r="F115" s="49"/>
    </row>
    <row r="116" spans="1:6">
      <c r="A116" s="49"/>
      <c r="D116" s="49"/>
      <c r="E116" s="49"/>
      <c r="F116" s="49"/>
    </row>
    <row r="117" spans="1:6">
      <c r="A117" s="49"/>
      <c r="D117" s="49"/>
      <c r="E117" s="49"/>
      <c r="F117" s="49"/>
    </row>
    <row r="118" spans="1:6">
      <c r="A118" s="49"/>
      <c r="D118" s="49"/>
      <c r="E118" s="49"/>
      <c r="F118" s="49"/>
    </row>
    <row r="119" spans="1:6">
      <c r="A119" s="49"/>
      <c r="D119" s="49"/>
      <c r="E119" s="49"/>
      <c r="F119" s="49"/>
    </row>
    <row r="120" spans="1:6">
      <c r="A120" s="49"/>
      <c r="D120" s="49"/>
      <c r="E120" s="49"/>
      <c r="F120" s="49"/>
    </row>
    <row r="121" spans="1:6">
      <c r="A121" s="49"/>
      <c r="D121" s="49"/>
      <c r="E121" s="49"/>
      <c r="F121" s="49"/>
    </row>
    <row r="122" spans="1:6">
      <c r="A122" s="49"/>
      <c r="D122" s="49"/>
      <c r="E122" s="49"/>
      <c r="F122" s="49"/>
    </row>
    <row r="123" spans="1:6">
      <c r="A123" s="49"/>
      <c r="D123" s="49"/>
      <c r="E123" s="49"/>
      <c r="F123" s="49"/>
    </row>
    <row r="124" spans="1:6">
      <c r="A124" s="49"/>
      <c r="D124" s="49"/>
      <c r="E124" s="49"/>
      <c r="F124" s="49"/>
    </row>
    <row r="125" spans="1:6">
      <c r="A125" s="49"/>
      <c r="D125" s="49"/>
      <c r="E125" s="49"/>
      <c r="F125" s="49"/>
    </row>
    <row r="126" spans="1:6">
      <c r="A126" s="49"/>
      <c r="D126" s="49"/>
      <c r="E126" s="49"/>
      <c r="F126" s="49"/>
    </row>
    <row r="127" spans="1:6">
      <c r="A127" s="49"/>
      <c r="D127" s="49"/>
      <c r="E127" s="49"/>
      <c r="F127" s="49"/>
    </row>
    <row r="128" spans="1:6">
      <c r="A128" s="49"/>
      <c r="D128" s="49"/>
      <c r="E128" s="49"/>
      <c r="F128" s="49"/>
    </row>
    <row r="129" spans="1:6">
      <c r="A129" s="49"/>
      <c r="D129" s="49"/>
      <c r="E129" s="49"/>
      <c r="F129" s="49"/>
    </row>
    <row r="130" spans="1:6">
      <c r="A130" s="49"/>
      <c r="D130" s="49"/>
      <c r="E130" s="49"/>
      <c r="F130" s="49"/>
    </row>
    <row r="131" spans="1:6">
      <c r="A131" s="49"/>
      <c r="D131" s="49"/>
      <c r="E131" s="49"/>
      <c r="F131" s="49"/>
    </row>
    <row r="132" spans="1:6">
      <c r="A132" s="49"/>
      <c r="D132" s="49"/>
      <c r="E132" s="49"/>
      <c r="F132" s="49"/>
    </row>
    <row r="133" spans="1:6">
      <c r="A133" s="49"/>
      <c r="D133" s="49"/>
      <c r="E133" s="49"/>
      <c r="F133" s="49"/>
    </row>
    <row r="134" spans="1:6">
      <c r="A134" s="49"/>
      <c r="D134" s="49"/>
      <c r="E134" s="49"/>
      <c r="F134" s="49"/>
    </row>
    <row r="135" spans="1:6">
      <c r="A135" s="49"/>
      <c r="D135" s="49"/>
      <c r="E135" s="49"/>
      <c r="F135" s="49"/>
    </row>
    <row r="136" spans="1:6">
      <c r="A136" s="49"/>
      <c r="D136" s="49"/>
      <c r="E136" s="49"/>
      <c r="F136" s="49"/>
    </row>
    <row r="137" spans="1:6">
      <c r="A137" s="49"/>
      <c r="D137" s="49"/>
      <c r="E137" s="49"/>
      <c r="F137" s="49"/>
    </row>
    <row r="138" spans="1:6">
      <c r="A138" s="49"/>
      <c r="D138" s="49"/>
      <c r="E138" s="49"/>
      <c r="F138" s="49"/>
    </row>
    <row r="139" spans="1:6">
      <c r="A139" s="49"/>
      <c r="D139" s="49"/>
      <c r="E139" s="49"/>
      <c r="F139" s="49"/>
    </row>
    <row r="140" spans="1:6">
      <c r="A140" s="49"/>
      <c r="D140" s="49"/>
      <c r="E140" s="49"/>
      <c r="F140" s="49"/>
    </row>
    <row r="141" spans="1:6">
      <c r="A141" s="49"/>
      <c r="D141" s="49"/>
      <c r="E141" s="49"/>
      <c r="F141" s="49"/>
    </row>
    <row r="142" spans="1:6">
      <c r="A142" s="49"/>
      <c r="D142" s="49"/>
      <c r="E142" s="49"/>
      <c r="F142" s="49"/>
    </row>
    <row r="143" spans="1:6">
      <c r="A143" s="49"/>
      <c r="D143" s="49"/>
      <c r="E143" s="49"/>
      <c r="F143" s="49"/>
    </row>
    <row r="144" spans="1:6">
      <c r="A144" s="49"/>
      <c r="D144" s="49"/>
      <c r="E144" s="49"/>
      <c r="F144" s="49"/>
    </row>
    <row r="145" spans="1:6">
      <c r="A145" s="49"/>
      <c r="D145" s="49"/>
      <c r="E145" s="49"/>
      <c r="F145" s="49"/>
    </row>
    <row r="146" spans="1:6">
      <c r="A146" s="49"/>
      <c r="D146" s="49"/>
      <c r="E146" s="49"/>
      <c r="F146" s="49"/>
    </row>
    <row r="147" spans="1:6">
      <c r="A147" s="49"/>
      <c r="D147" s="49"/>
      <c r="E147" s="49"/>
      <c r="F147" s="49"/>
    </row>
    <row r="148" spans="1:6">
      <c r="A148" s="49"/>
      <c r="D148" s="49"/>
      <c r="E148" s="49"/>
      <c r="F148" s="49"/>
    </row>
    <row r="149" spans="1:6">
      <c r="A149" s="49"/>
      <c r="D149" s="49"/>
      <c r="E149" s="49"/>
      <c r="F149" s="49"/>
    </row>
    <row r="150" spans="1:6">
      <c r="A150" s="49"/>
      <c r="D150" s="49"/>
      <c r="E150" s="49"/>
      <c r="F150" s="49"/>
    </row>
    <row r="151" spans="1:6">
      <c r="A151" s="49"/>
      <c r="D151" s="49"/>
      <c r="E151" s="49"/>
      <c r="F151" s="49"/>
    </row>
    <row r="152" spans="1:6">
      <c r="A152" s="49"/>
      <c r="D152" s="49"/>
      <c r="E152" s="49"/>
      <c r="F152" s="49"/>
    </row>
    <row r="153" spans="1:6">
      <c r="A153" s="49"/>
      <c r="D153" s="49"/>
      <c r="E153" s="49"/>
      <c r="F153" s="49"/>
    </row>
    <row r="154" spans="1:6">
      <c r="A154" s="49"/>
      <c r="D154" s="49"/>
      <c r="E154" s="49"/>
      <c r="F154" s="49"/>
    </row>
    <row r="155" spans="1:6">
      <c r="A155" s="49"/>
      <c r="D155" s="49"/>
      <c r="E155" s="49"/>
      <c r="F155" s="49"/>
    </row>
    <row r="156" spans="1:6">
      <c r="A156" s="49"/>
      <c r="D156" s="49"/>
      <c r="E156" s="49"/>
      <c r="F156" s="49"/>
    </row>
    <row r="157" spans="1:6">
      <c r="A157" s="49"/>
      <c r="D157" s="49"/>
      <c r="E157" s="49"/>
      <c r="F157" s="49"/>
    </row>
    <row r="158" spans="1:6">
      <c r="A158" s="49"/>
      <c r="D158" s="49"/>
      <c r="E158" s="49"/>
      <c r="F158" s="49"/>
    </row>
    <row r="159" spans="1:6">
      <c r="A159" s="49"/>
      <c r="D159" s="49"/>
      <c r="E159" s="49"/>
      <c r="F159" s="49"/>
    </row>
    <row r="160" spans="1:6">
      <c r="A160" s="49"/>
      <c r="D160" s="49"/>
      <c r="E160" s="49"/>
      <c r="F160" s="49"/>
    </row>
    <row r="161" spans="1:6">
      <c r="A161" s="49"/>
      <c r="D161" s="49"/>
      <c r="E161" s="49"/>
      <c r="F161" s="49"/>
    </row>
    <row r="162" spans="1:6">
      <c r="A162" s="49"/>
      <c r="D162" s="49"/>
      <c r="E162" s="49"/>
      <c r="F162" s="49"/>
    </row>
    <row r="163" spans="1:6">
      <c r="A163" s="49"/>
      <c r="D163" s="49"/>
      <c r="E163" s="49"/>
      <c r="F163" s="49"/>
    </row>
    <row r="164" spans="1:6">
      <c r="A164" s="49"/>
      <c r="D164" s="49"/>
      <c r="E164" s="49"/>
      <c r="F164" s="49"/>
    </row>
    <row r="165" spans="1:6">
      <c r="A165" s="49"/>
      <c r="D165" s="49"/>
      <c r="E165" s="49"/>
      <c r="F165" s="49"/>
    </row>
    <row r="166" spans="1:6">
      <c r="A166" s="49"/>
      <c r="D166" s="49"/>
      <c r="E166" s="49"/>
      <c r="F166" s="49"/>
    </row>
    <row r="167" spans="1:6">
      <c r="A167" s="49"/>
      <c r="D167" s="49"/>
      <c r="E167" s="49"/>
      <c r="F167" s="49"/>
    </row>
    <row r="168" spans="1:6">
      <c r="A168" s="49"/>
      <c r="D168" s="49"/>
      <c r="E168" s="49"/>
      <c r="F168" s="49"/>
    </row>
    <row r="169" spans="1:6">
      <c r="A169" s="49"/>
      <c r="D169" s="49"/>
      <c r="E169" s="49"/>
      <c r="F169" s="49"/>
    </row>
    <row r="170" spans="1:6">
      <c r="A170" s="49"/>
      <c r="D170" s="49"/>
      <c r="E170" s="49"/>
      <c r="F170" s="49"/>
    </row>
    <row r="171" spans="1:6">
      <c r="A171" s="49"/>
      <c r="D171" s="49"/>
      <c r="E171" s="49"/>
      <c r="F171" s="49"/>
    </row>
    <row r="172" spans="1:6">
      <c r="A172" s="49"/>
      <c r="D172" s="49"/>
      <c r="E172" s="49"/>
      <c r="F172" s="49"/>
    </row>
    <row r="173" spans="1:6">
      <c r="A173" s="49"/>
      <c r="D173" s="49"/>
      <c r="E173" s="49"/>
      <c r="F173" s="49"/>
    </row>
    <row r="174" spans="1:6">
      <c r="A174" s="49"/>
      <c r="D174" s="49"/>
      <c r="E174" s="49"/>
      <c r="F174" s="49"/>
    </row>
    <row r="175" spans="1:6">
      <c r="A175" s="49"/>
      <c r="D175" s="49"/>
      <c r="E175" s="49"/>
      <c r="F175" s="49"/>
    </row>
    <row r="176" spans="1:6">
      <c r="A176" s="49"/>
      <c r="D176" s="49"/>
      <c r="E176" s="49"/>
      <c r="F176" s="49"/>
    </row>
    <row r="177" spans="1:6">
      <c r="A177" s="49"/>
      <c r="D177" s="49"/>
      <c r="E177" s="49"/>
      <c r="F177" s="49"/>
    </row>
    <row r="178" spans="1:6">
      <c r="A178" s="49"/>
      <c r="D178" s="49"/>
      <c r="E178" s="49"/>
      <c r="F178" s="49"/>
    </row>
    <row r="179" spans="1:6">
      <c r="A179" s="49"/>
      <c r="D179" s="49"/>
      <c r="E179" s="49"/>
      <c r="F179" s="49"/>
    </row>
    <row r="180" spans="1:6">
      <c r="A180" s="49"/>
      <c r="D180" s="49"/>
      <c r="E180" s="49"/>
      <c r="F180" s="49"/>
    </row>
    <row r="181" spans="1:6">
      <c r="A181" s="49"/>
      <c r="D181" s="49"/>
      <c r="E181" s="49"/>
      <c r="F181" s="49"/>
    </row>
    <row r="182" spans="1:6">
      <c r="A182" s="49"/>
      <c r="D182" s="49"/>
      <c r="E182" s="49"/>
      <c r="F182" s="49"/>
    </row>
    <row r="183" spans="1:6">
      <c r="A183" s="49"/>
      <c r="D183" s="49"/>
      <c r="E183" s="49"/>
      <c r="F183" s="49"/>
    </row>
    <row r="184" spans="1:6">
      <c r="A184" s="49"/>
      <c r="D184" s="49"/>
      <c r="E184" s="49"/>
      <c r="F184" s="49"/>
    </row>
    <row r="185" spans="1:6">
      <c r="A185" s="49"/>
      <c r="D185" s="49"/>
      <c r="E185" s="49"/>
      <c r="F185" s="49"/>
    </row>
    <row r="186" spans="1:6">
      <c r="A186" s="49"/>
      <c r="D186" s="49"/>
      <c r="E186" s="49"/>
      <c r="F186" s="49"/>
    </row>
    <row r="187" spans="1:6">
      <c r="A187" s="49"/>
      <c r="D187" s="49"/>
      <c r="E187" s="49"/>
      <c r="F187" s="49"/>
    </row>
    <row r="188" spans="1:6">
      <c r="A188" s="49"/>
      <c r="D188" s="49"/>
      <c r="E188" s="49"/>
      <c r="F188" s="49"/>
    </row>
    <row r="189" spans="1:6">
      <c r="A189" s="49"/>
      <c r="D189" s="49"/>
      <c r="E189" s="49"/>
      <c r="F189" s="49"/>
    </row>
    <row r="190" spans="1:6">
      <c r="A190" s="49"/>
      <c r="D190" s="49"/>
      <c r="E190" s="49"/>
      <c r="F190" s="49"/>
    </row>
    <row r="191" spans="1:6">
      <c r="A191" s="49"/>
      <c r="D191" s="49"/>
      <c r="E191" s="49"/>
      <c r="F191" s="49"/>
    </row>
    <row r="192" spans="1:6">
      <c r="A192" s="49"/>
      <c r="D192" s="49"/>
      <c r="E192" s="49"/>
      <c r="F192" s="49"/>
    </row>
    <row r="193" spans="1:6">
      <c r="A193" s="49"/>
      <c r="D193" s="49"/>
      <c r="E193" s="49"/>
      <c r="F193" s="49"/>
    </row>
    <row r="194" spans="1:6">
      <c r="A194" s="49"/>
      <c r="D194" s="49"/>
      <c r="E194" s="49"/>
      <c r="F194" s="49"/>
    </row>
    <row r="195" spans="1:6">
      <c r="A195" s="49"/>
      <c r="D195" s="49"/>
      <c r="E195" s="49"/>
      <c r="F195" s="49"/>
    </row>
    <row r="196" spans="1:6">
      <c r="A196" s="49"/>
      <c r="D196" s="49"/>
      <c r="E196" s="49"/>
      <c r="F196" s="49"/>
    </row>
    <row r="197" spans="1:6">
      <c r="A197" s="49"/>
      <c r="D197" s="49"/>
      <c r="E197" s="49"/>
      <c r="F197" s="49"/>
    </row>
    <row r="198" spans="1:6">
      <c r="A198" s="49"/>
      <c r="D198" s="49"/>
      <c r="E198" s="49"/>
      <c r="F198" s="49"/>
    </row>
    <row r="199" spans="1:6">
      <c r="A199" s="49"/>
      <c r="D199" s="49"/>
      <c r="E199" s="49"/>
      <c r="F199" s="49"/>
    </row>
    <row r="200" spans="1:6">
      <c r="A200" s="49"/>
      <c r="D200" s="49"/>
      <c r="E200" s="49"/>
      <c r="F200" s="49"/>
    </row>
    <row r="201" spans="1:6">
      <c r="A201" s="49"/>
      <c r="D201" s="49"/>
      <c r="E201" s="49"/>
      <c r="F201" s="49"/>
    </row>
    <row r="202" spans="1:6">
      <c r="A202" s="49"/>
      <c r="D202" s="49"/>
      <c r="E202" s="49"/>
      <c r="F202" s="49"/>
    </row>
    <row r="203" spans="1:6">
      <c r="A203" s="49"/>
      <c r="D203" s="49"/>
      <c r="E203" s="49"/>
      <c r="F203" s="49"/>
    </row>
    <row r="204" spans="1:6">
      <c r="A204" s="49"/>
      <c r="D204" s="49"/>
      <c r="E204" s="49"/>
      <c r="F204" s="49"/>
    </row>
    <row r="205" spans="1:6">
      <c r="A205" s="49"/>
      <c r="D205" s="49"/>
      <c r="E205" s="49"/>
      <c r="F205" s="49"/>
    </row>
    <row r="206" spans="1:6">
      <c r="A206" s="49"/>
      <c r="D206" s="49"/>
      <c r="E206" s="49"/>
      <c r="F206" s="49"/>
    </row>
    <row r="207" spans="1:6">
      <c r="A207" s="49"/>
      <c r="D207" s="49"/>
      <c r="E207" s="49"/>
      <c r="F207" s="49"/>
    </row>
    <row r="208" spans="1:6">
      <c r="A208" s="49"/>
      <c r="D208" s="49"/>
      <c r="E208" s="49"/>
      <c r="F208" s="49"/>
    </row>
    <row r="209" spans="1:6">
      <c r="A209" s="49"/>
      <c r="D209" s="49"/>
      <c r="E209" s="49"/>
      <c r="F209" s="49"/>
    </row>
    <row r="210" spans="1:6">
      <c r="A210" s="49"/>
      <c r="D210" s="49"/>
      <c r="E210" s="49"/>
      <c r="F210" s="49"/>
    </row>
    <row r="211" spans="1:6">
      <c r="A211" s="49"/>
      <c r="D211" s="49"/>
      <c r="E211" s="49"/>
      <c r="F211" s="49"/>
    </row>
    <row r="212" spans="1:6">
      <c r="A212" s="49"/>
      <c r="D212" s="49"/>
      <c r="E212" s="49"/>
      <c r="F212" s="49"/>
    </row>
    <row r="213" spans="1:6">
      <c r="A213" s="49"/>
      <c r="D213" s="49"/>
      <c r="E213" s="49"/>
      <c r="F213" s="49"/>
    </row>
    <row r="214" spans="1:6">
      <c r="A214" s="49"/>
      <c r="D214" s="49"/>
      <c r="E214" s="49"/>
      <c r="F214" s="49"/>
    </row>
    <row r="215" spans="1:6">
      <c r="A215" s="49"/>
      <c r="D215" s="49"/>
      <c r="E215" s="49"/>
      <c r="F215" s="49"/>
    </row>
    <row r="216" spans="1:6">
      <c r="A216" s="49"/>
      <c r="D216" s="49"/>
      <c r="E216" s="49"/>
      <c r="F216" s="49"/>
    </row>
    <row r="217" spans="1:6">
      <c r="A217" s="49"/>
      <c r="D217" s="49"/>
      <c r="E217" s="49"/>
      <c r="F217" s="49"/>
    </row>
    <row r="218" spans="1:6">
      <c r="A218" s="49"/>
      <c r="D218" s="49"/>
      <c r="E218" s="49"/>
      <c r="F218" s="49"/>
    </row>
    <row r="219" spans="1:6">
      <c r="A219" s="49"/>
      <c r="D219" s="49"/>
      <c r="E219" s="49"/>
      <c r="F219" s="49"/>
    </row>
    <row r="220" spans="1:6">
      <c r="A220" s="49"/>
      <c r="D220" s="49"/>
      <c r="E220" s="49"/>
      <c r="F220" s="49"/>
    </row>
    <row r="221" spans="1:6">
      <c r="A221" s="49"/>
      <c r="D221" s="49"/>
      <c r="E221" s="49"/>
      <c r="F221" s="49"/>
    </row>
    <row r="222" spans="1:6">
      <c r="A222" s="49"/>
      <c r="D222" s="49"/>
      <c r="E222" s="49"/>
      <c r="F222" s="49"/>
    </row>
    <row r="223" spans="1:6">
      <c r="A223" s="49"/>
      <c r="D223" s="49"/>
      <c r="E223" s="49"/>
      <c r="F223" s="49"/>
    </row>
    <row r="224" spans="1:6">
      <c r="A224" s="49"/>
      <c r="D224" s="49"/>
      <c r="E224" s="49"/>
      <c r="F224" s="49"/>
    </row>
    <row r="225" spans="1:6">
      <c r="A225" s="49"/>
      <c r="D225" s="49"/>
      <c r="E225" s="49"/>
      <c r="F225" s="49"/>
    </row>
    <row r="226" spans="1:6">
      <c r="A226" s="49"/>
      <c r="D226" s="49"/>
      <c r="E226" s="49"/>
      <c r="F226" s="49"/>
    </row>
    <row r="227" spans="1:6">
      <c r="A227" s="49"/>
      <c r="D227" s="49"/>
      <c r="E227" s="49"/>
      <c r="F227" s="49"/>
    </row>
    <row r="228" spans="1:6">
      <c r="A228" s="49"/>
      <c r="D228" s="49"/>
      <c r="E228" s="49"/>
      <c r="F228" s="49"/>
    </row>
    <row r="229" spans="1:6">
      <c r="A229" s="49"/>
      <c r="D229" s="49"/>
      <c r="E229" s="49"/>
      <c r="F229" s="49"/>
    </row>
    <row r="230" spans="1:6">
      <c r="A230" s="49"/>
      <c r="D230" s="49"/>
      <c r="E230" s="49"/>
      <c r="F230" s="49"/>
    </row>
    <row r="231" spans="1:6">
      <c r="A231" s="49"/>
      <c r="D231" s="49"/>
      <c r="E231" s="49"/>
      <c r="F231" s="49"/>
    </row>
    <row r="232" spans="1:6">
      <c r="A232" s="49"/>
      <c r="D232" s="49"/>
      <c r="E232" s="49"/>
      <c r="F232" s="49"/>
    </row>
    <row r="233" spans="1:6">
      <c r="A233" s="49"/>
      <c r="D233" s="49"/>
      <c r="E233" s="49"/>
      <c r="F233" s="49"/>
    </row>
    <row r="234" spans="1:6">
      <c r="A234" s="49"/>
      <c r="D234" s="49"/>
      <c r="E234" s="49"/>
      <c r="F234" s="49"/>
    </row>
    <row r="235" spans="1:6">
      <c r="A235" s="49"/>
      <c r="D235" s="49"/>
      <c r="E235" s="49"/>
      <c r="F235" s="49"/>
    </row>
    <row r="236" spans="1:6">
      <c r="A236" s="49"/>
      <c r="D236" s="49"/>
      <c r="E236" s="49"/>
      <c r="F236" s="49"/>
    </row>
    <row r="237" spans="1:6">
      <c r="A237" s="49"/>
      <c r="D237" s="49"/>
      <c r="E237" s="49"/>
      <c r="F237" s="49"/>
    </row>
    <row r="238" spans="1:6">
      <c r="A238" s="49"/>
      <c r="D238" s="49"/>
      <c r="E238" s="49"/>
      <c r="F238" s="49"/>
    </row>
    <row r="239" spans="1:6">
      <c r="A239" s="49"/>
      <c r="D239" s="49"/>
      <c r="E239" s="49"/>
      <c r="F239" s="49"/>
    </row>
    <row r="240" spans="1:6">
      <c r="A240" s="49"/>
      <c r="D240" s="49"/>
      <c r="E240" s="49"/>
      <c r="F240" s="49"/>
    </row>
    <row r="241" spans="1:6">
      <c r="A241" s="49"/>
      <c r="D241" s="49"/>
      <c r="E241" s="49"/>
      <c r="F241" s="49"/>
    </row>
    <row r="242" spans="1:6">
      <c r="A242" s="49"/>
      <c r="D242" s="49"/>
      <c r="E242" s="49"/>
      <c r="F242" s="49"/>
    </row>
    <row r="243" spans="1:6">
      <c r="A243" s="49"/>
      <c r="D243" s="49"/>
      <c r="E243" s="49"/>
      <c r="F243" s="49"/>
    </row>
    <row r="244" spans="1:6">
      <c r="A244" s="49"/>
      <c r="D244" s="49"/>
      <c r="E244" s="49"/>
      <c r="F244" s="49"/>
    </row>
    <row r="245" spans="1:6">
      <c r="A245" s="49"/>
      <c r="D245" s="49"/>
      <c r="E245" s="49"/>
      <c r="F245" s="49"/>
    </row>
    <row r="246" spans="1:6">
      <c r="A246" s="49"/>
      <c r="D246" s="49"/>
      <c r="E246" s="49"/>
      <c r="F246" s="49"/>
    </row>
    <row r="247" spans="1:6">
      <c r="A247" s="49"/>
      <c r="D247" s="49"/>
      <c r="E247" s="49"/>
      <c r="F247" s="49"/>
    </row>
    <row r="248" spans="1:6">
      <c r="A248" s="49"/>
      <c r="D248" s="49"/>
      <c r="E248" s="49"/>
      <c r="F248" s="49"/>
    </row>
    <row r="249" spans="1:6">
      <c r="A249" s="49"/>
      <c r="D249" s="49"/>
      <c r="E249" s="49"/>
      <c r="F249" s="49"/>
    </row>
    <row r="250" spans="1:6">
      <c r="A250" s="49"/>
      <c r="D250" s="49"/>
      <c r="E250" s="49"/>
      <c r="F250" s="49"/>
    </row>
    <row r="251" spans="1:6">
      <c r="A251" s="49"/>
      <c r="D251" s="49"/>
      <c r="E251" s="49"/>
      <c r="F251" s="49"/>
    </row>
    <row r="252" spans="1:6">
      <c r="A252" s="49"/>
      <c r="D252" s="49"/>
      <c r="E252" s="49"/>
      <c r="F252" s="49"/>
    </row>
    <row r="253" spans="1:6">
      <c r="A253" s="49"/>
      <c r="D253" s="49"/>
      <c r="E253" s="49"/>
      <c r="F253" s="49"/>
    </row>
    <row r="254" spans="1:6">
      <c r="A254" s="49"/>
      <c r="D254" s="49"/>
      <c r="E254" s="49"/>
      <c r="F254" s="49"/>
    </row>
    <row r="255" spans="1:6">
      <c r="A255" s="49"/>
      <c r="D255" s="49"/>
      <c r="E255" s="49"/>
      <c r="F255" s="49"/>
    </row>
    <row r="256" spans="1:6">
      <c r="A256" s="49"/>
      <c r="D256" s="49"/>
      <c r="E256" s="49"/>
      <c r="F256" s="49"/>
    </row>
    <row r="257" spans="1:6">
      <c r="A257" s="49"/>
      <c r="D257" s="49"/>
      <c r="E257" s="49"/>
      <c r="F257" s="49"/>
    </row>
    <row r="258" spans="1:6">
      <c r="A258" s="49"/>
      <c r="D258" s="49"/>
      <c r="E258" s="49"/>
      <c r="F258" s="49"/>
    </row>
    <row r="259" spans="1:6">
      <c r="A259" s="49"/>
      <c r="D259" s="49"/>
      <c r="E259" s="49"/>
      <c r="F259" s="49"/>
    </row>
    <row r="260" spans="1:6">
      <c r="A260" s="49"/>
      <c r="D260" s="49"/>
      <c r="E260" s="49"/>
      <c r="F260" s="49"/>
    </row>
    <row r="261" spans="1:6">
      <c r="A261" s="49"/>
      <c r="D261" s="49"/>
      <c r="E261" s="49"/>
      <c r="F261" s="49"/>
    </row>
    <row r="262" spans="1:6">
      <c r="A262" s="49"/>
      <c r="D262" s="49"/>
      <c r="E262" s="49"/>
      <c r="F262" s="49"/>
    </row>
    <row r="263" spans="1:6">
      <c r="A263" s="49"/>
      <c r="D263" s="49"/>
      <c r="E263" s="49"/>
      <c r="F263" s="49"/>
    </row>
    <row r="264" spans="1:6">
      <c r="A264" s="49"/>
      <c r="D264" s="49"/>
      <c r="E264" s="49"/>
      <c r="F264" s="49"/>
    </row>
    <row r="265" spans="1:6">
      <c r="A265" s="49"/>
      <c r="D265" s="49"/>
      <c r="E265" s="49"/>
      <c r="F265" s="49"/>
    </row>
    <row r="266" spans="1:6">
      <c r="A266" s="49"/>
      <c r="D266" s="49"/>
      <c r="E266" s="49"/>
      <c r="F266" s="49"/>
    </row>
    <row r="267" spans="1:6">
      <c r="A267" s="49"/>
      <c r="D267" s="49"/>
      <c r="E267" s="49"/>
      <c r="F267" s="49"/>
    </row>
    <row r="268" spans="1:6">
      <c r="A268" s="49"/>
      <c r="D268" s="49"/>
      <c r="E268" s="49"/>
      <c r="F268" s="49"/>
    </row>
    <row r="269" spans="1:6">
      <c r="A269" s="49"/>
      <c r="D269" s="49"/>
      <c r="E269" s="49"/>
      <c r="F269" s="49"/>
    </row>
    <row r="270" spans="1:6">
      <c r="A270" s="49"/>
      <c r="D270" s="49"/>
      <c r="E270" s="49"/>
      <c r="F270" s="49"/>
    </row>
    <row r="271" spans="1:6">
      <c r="A271" s="49"/>
      <c r="D271" s="49"/>
      <c r="E271" s="49"/>
      <c r="F271" s="49"/>
    </row>
    <row r="272" spans="1:6">
      <c r="A272" s="49"/>
      <c r="D272" s="49"/>
      <c r="E272" s="49"/>
      <c r="F272" s="49"/>
    </row>
    <row r="273" spans="1:6">
      <c r="A273" s="49"/>
      <c r="D273" s="49"/>
      <c r="E273" s="49"/>
      <c r="F273" s="49"/>
    </row>
    <row r="274" spans="1:6">
      <c r="A274" s="49"/>
      <c r="D274" s="49"/>
      <c r="E274" s="49"/>
      <c r="F274" s="49"/>
    </row>
    <row r="275" spans="1:6">
      <c r="A275" s="49"/>
      <c r="D275" s="49"/>
      <c r="E275" s="49"/>
      <c r="F275" s="49"/>
    </row>
    <row r="276" spans="1:6">
      <c r="A276" s="49"/>
      <c r="D276" s="49"/>
      <c r="E276" s="49"/>
      <c r="F276" s="49"/>
    </row>
    <row r="277" spans="1:6">
      <c r="A277" s="49"/>
      <c r="D277" s="49"/>
      <c r="E277" s="49"/>
      <c r="F277" s="49"/>
    </row>
    <row r="278" spans="1:6">
      <c r="A278" s="49"/>
      <c r="D278" s="49"/>
      <c r="E278" s="49"/>
      <c r="F278" s="49"/>
    </row>
    <row r="279" spans="1:6">
      <c r="A279" s="49"/>
      <c r="D279" s="49"/>
      <c r="E279" s="49"/>
      <c r="F279" s="49"/>
    </row>
    <row r="280" spans="1:6">
      <c r="A280" s="49"/>
      <c r="D280" s="49"/>
      <c r="E280" s="49"/>
      <c r="F280" s="49"/>
    </row>
    <row r="281" spans="1:6">
      <c r="A281" s="49"/>
      <c r="D281" s="49"/>
      <c r="E281" s="49"/>
      <c r="F281" s="49"/>
    </row>
    <row r="282" spans="1:6">
      <c r="A282" s="49"/>
      <c r="D282" s="49"/>
      <c r="E282" s="49"/>
      <c r="F282" s="49"/>
    </row>
    <row r="283" spans="1:6">
      <c r="A283" s="49"/>
      <c r="D283" s="49"/>
      <c r="E283" s="49"/>
      <c r="F283" s="49"/>
    </row>
    <row r="284" spans="1:6">
      <c r="A284" s="49"/>
      <c r="D284" s="49"/>
      <c r="E284" s="49"/>
      <c r="F284" s="49"/>
    </row>
    <row r="285" spans="1:6">
      <c r="A285" s="49"/>
      <c r="D285" s="49"/>
      <c r="E285" s="49"/>
      <c r="F285" s="49"/>
    </row>
    <row r="286" spans="1:6">
      <c r="A286" s="49"/>
      <c r="D286" s="49"/>
      <c r="E286" s="49"/>
      <c r="F286" s="49"/>
    </row>
    <row r="287" spans="1:6">
      <c r="A287" s="49"/>
      <c r="D287" s="49"/>
      <c r="E287" s="49"/>
      <c r="F287" s="49"/>
    </row>
    <row r="288" spans="1:6">
      <c r="A288" s="49"/>
      <c r="D288" s="49"/>
      <c r="E288" s="49"/>
      <c r="F288" s="49"/>
    </row>
    <row r="289" spans="1:6">
      <c r="A289" s="49"/>
      <c r="D289" s="49"/>
      <c r="E289" s="49"/>
      <c r="F289" s="49"/>
    </row>
    <row r="290" spans="1:6">
      <c r="A290" s="49"/>
      <c r="D290" s="49"/>
      <c r="E290" s="49"/>
      <c r="F290" s="49"/>
    </row>
    <row r="291" spans="1:6">
      <c r="A291" s="49"/>
      <c r="D291" s="49"/>
      <c r="E291" s="49"/>
      <c r="F291" s="49"/>
    </row>
    <row r="292" spans="1:6">
      <c r="A292" s="49"/>
      <c r="D292" s="49"/>
      <c r="E292" s="49"/>
      <c r="F292" s="49"/>
    </row>
    <row r="293" spans="1:6">
      <c r="A293" s="49"/>
      <c r="D293" s="49"/>
      <c r="E293" s="49"/>
      <c r="F293" s="49"/>
    </row>
    <row r="294" spans="1:6">
      <c r="A294" s="49"/>
      <c r="D294" s="49"/>
      <c r="E294" s="49"/>
      <c r="F294" s="49"/>
    </row>
    <row r="295" spans="1:6">
      <c r="A295" s="49"/>
      <c r="D295" s="49"/>
      <c r="E295" s="49"/>
      <c r="F295" s="49"/>
    </row>
    <row r="296" spans="1:6">
      <c r="A296" s="49"/>
      <c r="D296" s="49"/>
      <c r="E296" s="49"/>
      <c r="F296" s="49"/>
    </row>
    <row r="297" spans="1:6">
      <c r="A297" s="49"/>
      <c r="D297" s="49"/>
      <c r="E297" s="49"/>
      <c r="F297" s="49"/>
    </row>
    <row r="298" spans="1:6">
      <c r="A298" s="49"/>
      <c r="D298" s="49"/>
      <c r="E298" s="49"/>
      <c r="F298" s="49"/>
    </row>
    <row r="299" spans="1:6">
      <c r="A299" s="49"/>
      <c r="D299" s="49"/>
      <c r="E299" s="49"/>
      <c r="F299" s="49"/>
    </row>
    <row r="300" spans="1:6">
      <c r="A300" s="49"/>
      <c r="D300" s="49"/>
      <c r="E300" s="49"/>
      <c r="F300" s="49"/>
    </row>
    <row r="301" spans="1:6">
      <c r="A301" s="49"/>
      <c r="D301" s="49"/>
      <c r="E301" s="49"/>
      <c r="F301" s="49"/>
    </row>
    <row r="302" spans="1:6">
      <c r="A302" s="49"/>
      <c r="D302" s="49"/>
      <c r="E302" s="49"/>
      <c r="F302" s="49"/>
    </row>
    <row r="303" spans="1:6">
      <c r="A303" s="49"/>
      <c r="D303" s="49"/>
      <c r="E303" s="49"/>
      <c r="F303" s="49"/>
    </row>
    <row r="304" spans="1:6">
      <c r="A304" s="49"/>
      <c r="D304" s="49"/>
      <c r="E304" s="49"/>
      <c r="F304" s="49"/>
    </row>
    <row r="305" spans="1:6">
      <c r="A305" s="49"/>
      <c r="D305" s="49"/>
      <c r="E305" s="49"/>
      <c r="F305" s="49"/>
    </row>
    <row r="306" spans="1:6">
      <c r="A306" s="49"/>
      <c r="D306" s="49"/>
      <c r="E306" s="49"/>
      <c r="F306" s="49"/>
    </row>
    <row r="307" spans="1:6">
      <c r="A307" s="49"/>
      <c r="D307" s="49"/>
      <c r="E307" s="49"/>
      <c r="F307" s="49"/>
    </row>
    <row r="308" spans="1:6">
      <c r="A308" s="49"/>
      <c r="D308" s="49"/>
      <c r="E308" s="49"/>
      <c r="F308" s="49"/>
    </row>
    <row r="309" spans="1:6">
      <c r="A309" s="49"/>
      <c r="D309" s="49"/>
      <c r="E309" s="49"/>
      <c r="F309" s="49"/>
    </row>
    <row r="310" spans="1:6">
      <c r="A310" s="49"/>
      <c r="D310" s="49"/>
      <c r="E310" s="49"/>
      <c r="F310" s="49"/>
    </row>
    <row r="311" spans="1:6">
      <c r="A311" s="49"/>
      <c r="D311" s="49"/>
      <c r="E311" s="49"/>
      <c r="F311" s="49"/>
    </row>
    <row r="312" spans="1:6">
      <c r="A312" s="49"/>
      <c r="D312" s="49"/>
      <c r="E312" s="49"/>
      <c r="F312" s="49"/>
    </row>
    <row r="313" spans="1:6">
      <c r="A313" s="49"/>
      <c r="D313" s="49"/>
      <c r="E313" s="49"/>
      <c r="F313" s="49"/>
    </row>
    <row r="314" spans="1:6">
      <c r="A314" s="49"/>
      <c r="D314" s="49"/>
      <c r="E314" s="49"/>
      <c r="F314" s="49"/>
    </row>
    <row r="315" spans="1:6">
      <c r="A315" s="49"/>
      <c r="D315" s="49"/>
      <c r="E315" s="49"/>
      <c r="F315" s="49"/>
    </row>
    <row r="316" spans="1:6">
      <c r="A316" s="49"/>
      <c r="D316" s="49"/>
      <c r="E316" s="49"/>
      <c r="F316" s="49"/>
    </row>
    <row r="317" spans="1:6">
      <c r="A317" s="49"/>
      <c r="D317" s="49"/>
      <c r="E317" s="49"/>
      <c r="F317" s="49"/>
    </row>
    <row r="318" spans="1:6">
      <c r="A318" s="49"/>
      <c r="D318" s="49"/>
      <c r="E318" s="49"/>
      <c r="F318" s="49"/>
    </row>
    <row r="319" spans="1:6">
      <c r="A319" s="49"/>
      <c r="D319" s="49"/>
      <c r="E319" s="49"/>
      <c r="F319" s="49"/>
    </row>
    <row r="320" spans="1:6">
      <c r="A320" s="49"/>
      <c r="D320" s="49"/>
      <c r="E320" s="49"/>
      <c r="F320" s="49"/>
    </row>
    <row r="321" spans="1:6">
      <c r="A321" s="49"/>
      <c r="D321" s="49"/>
      <c r="E321" s="49"/>
      <c r="F321" s="49"/>
    </row>
    <row r="322" spans="1:6">
      <c r="A322" s="49"/>
      <c r="D322" s="49"/>
      <c r="E322" s="49"/>
      <c r="F322" s="49"/>
    </row>
    <row r="323" spans="1:6">
      <c r="A323" s="49"/>
      <c r="D323" s="49"/>
      <c r="E323" s="49"/>
      <c r="F323" s="49"/>
    </row>
    <row r="324" spans="1:6">
      <c r="A324" s="49"/>
      <c r="D324" s="49"/>
      <c r="E324" s="49"/>
      <c r="F324" s="49"/>
    </row>
    <row r="325" spans="1:6">
      <c r="A325" s="49"/>
      <c r="D325" s="49"/>
      <c r="E325" s="49"/>
      <c r="F325" s="49"/>
    </row>
    <row r="326" spans="1:6">
      <c r="A326" s="49"/>
      <c r="D326" s="49"/>
      <c r="E326" s="49"/>
      <c r="F326" s="49"/>
    </row>
    <row r="327" spans="1:6">
      <c r="A327" s="49"/>
      <c r="D327" s="49"/>
      <c r="E327" s="49"/>
      <c r="F327" s="49"/>
    </row>
    <row r="328" spans="1:6">
      <c r="A328" s="49"/>
      <c r="D328" s="49"/>
      <c r="E328" s="49"/>
      <c r="F328" s="49"/>
    </row>
    <row r="329" spans="1:6">
      <c r="A329" s="49"/>
      <c r="D329" s="49"/>
      <c r="E329" s="49"/>
      <c r="F329" s="49"/>
    </row>
    <row r="330" spans="1:6">
      <c r="A330" s="49"/>
      <c r="D330" s="49"/>
      <c r="E330" s="49"/>
      <c r="F330" s="49"/>
    </row>
    <row r="331" spans="1:6">
      <c r="A331" s="49"/>
      <c r="D331" s="49"/>
      <c r="E331" s="49"/>
      <c r="F331" s="49"/>
    </row>
    <row r="332" spans="1:6">
      <c r="A332" s="49"/>
      <c r="D332" s="49"/>
      <c r="E332" s="49"/>
      <c r="F332" s="49"/>
    </row>
    <row r="333" spans="1:6">
      <c r="A333" s="49"/>
      <c r="D333" s="49"/>
      <c r="E333" s="49"/>
      <c r="F333" s="49"/>
    </row>
    <row r="334" spans="1:6">
      <c r="A334" s="49"/>
      <c r="D334" s="49"/>
      <c r="E334" s="49"/>
      <c r="F334" s="49"/>
    </row>
    <row r="335" spans="1:6">
      <c r="A335" s="49"/>
      <c r="D335" s="49"/>
      <c r="E335" s="49"/>
      <c r="F335" s="49"/>
    </row>
    <row r="336" spans="1:6">
      <c r="A336" s="49"/>
      <c r="D336" s="49"/>
      <c r="E336" s="49"/>
      <c r="F336" s="49"/>
    </row>
    <row r="337" spans="1:6">
      <c r="A337" s="49"/>
      <c r="D337" s="49"/>
      <c r="E337" s="49"/>
      <c r="F337" s="49"/>
    </row>
    <row r="338" spans="1:6">
      <c r="A338" s="49"/>
      <c r="D338" s="49"/>
      <c r="E338" s="49"/>
      <c r="F338" s="49"/>
    </row>
    <row r="339" spans="1:6">
      <c r="A339" s="49"/>
      <c r="D339" s="49"/>
      <c r="E339" s="49"/>
      <c r="F339" s="49"/>
    </row>
    <row r="340" spans="1:6">
      <c r="A340" s="49"/>
      <c r="D340" s="49"/>
      <c r="E340" s="49"/>
      <c r="F340" s="49"/>
    </row>
    <row r="341" spans="1:6">
      <c r="A341" s="49"/>
      <c r="D341" s="49"/>
      <c r="E341" s="49"/>
      <c r="F341" s="49"/>
    </row>
    <row r="342" spans="1:6">
      <c r="A342" s="49"/>
      <c r="D342" s="49"/>
      <c r="E342" s="49"/>
      <c r="F342" s="49"/>
    </row>
    <row r="343" spans="1:6">
      <c r="A343" s="49"/>
      <c r="D343" s="49"/>
      <c r="E343" s="49"/>
      <c r="F343" s="49"/>
    </row>
    <row r="344" spans="1:6">
      <c r="A344" s="49"/>
      <c r="D344" s="49"/>
      <c r="E344" s="49"/>
      <c r="F344" s="49"/>
    </row>
    <row r="345" spans="1:6">
      <c r="A345" s="49"/>
      <c r="D345" s="49"/>
      <c r="E345" s="49"/>
      <c r="F345" s="49"/>
    </row>
    <row r="346" spans="1:6">
      <c r="A346" s="49"/>
      <c r="D346" s="49"/>
      <c r="E346" s="49"/>
      <c r="F346" s="49"/>
    </row>
    <row r="347" spans="1:6">
      <c r="A347" s="49"/>
      <c r="D347" s="49"/>
      <c r="E347" s="49"/>
      <c r="F347" s="49"/>
    </row>
    <row r="348" spans="1:6">
      <c r="A348" s="49"/>
      <c r="D348" s="49"/>
      <c r="E348" s="49"/>
      <c r="F348" s="49"/>
    </row>
    <row r="349" spans="1:6">
      <c r="A349" s="49"/>
      <c r="D349" s="49"/>
      <c r="E349" s="49"/>
      <c r="F349" s="49"/>
    </row>
    <row r="350" spans="1:6">
      <c r="A350" s="49"/>
      <c r="D350" s="49"/>
      <c r="E350" s="49"/>
      <c r="F350" s="49"/>
    </row>
    <row r="351" spans="1:6">
      <c r="A351" s="49"/>
      <c r="D351" s="49"/>
      <c r="E351" s="49"/>
      <c r="F351" s="49"/>
    </row>
    <row r="352" spans="1:6">
      <c r="A352" s="49"/>
      <c r="D352" s="49"/>
      <c r="E352" s="49"/>
      <c r="F352" s="49"/>
    </row>
    <row r="353" spans="1:6">
      <c r="A353" s="49"/>
      <c r="D353" s="49"/>
      <c r="E353" s="49"/>
      <c r="F353" s="49"/>
    </row>
    <row r="354" spans="1:6">
      <c r="A354" s="49"/>
      <c r="D354" s="49"/>
      <c r="E354" s="49"/>
      <c r="F354" s="49"/>
    </row>
    <row r="355" spans="1:6">
      <c r="A355" s="49"/>
      <c r="D355" s="49"/>
      <c r="E355" s="49"/>
      <c r="F355" s="49"/>
    </row>
    <row r="356" spans="1:6">
      <c r="A356" s="49"/>
      <c r="D356" s="49"/>
      <c r="E356" s="49"/>
      <c r="F356" s="49"/>
    </row>
    <row r="357" spans="1:6">
      <c r="A357" s="49"/>
      <c r="D357" s="49"/>
      <c r="E357" s="49"/>
      <c r="F357" s="49"/>
    </row>
    <row r="358" spans="1:6">
      <c r="A358" s="49"/>
      <c r="D358" s="49"/>
      <c r="E358" s="49"/>
      <c r="F358" s="49"/>
    </row>
    <row r="359" spans="1:6">
      <c r="A359" s="49"/>
      <c r="D359" s="49"/>
      <c r="E359" s="49"/>
      <c r="F359" s="49"/>
    </row>
    <row r="360" spans="1:6">
      <c r="A360" s="49"/>
      <c r="D360" s="49"/>
      <c r="E360" s="49"/>
      <c r="F360" s="49"/>
    </row>
    <row r="361" spans="1:6">
      <c r="A361" s="49"/>
      <c r="D361" s="49"/>
      <c r="E361" s="49"/>
      <c r="F361" s="49"/>
    </row>
    <row r="362" spans="1:6">
      <c r="A362" s="49"/>
      <c r="D362" s="49"/>
      <c r="E362" s="49"/>
      <c r="F362" s="49"/>
    </row>
    <row r="363" spans="1:6">
      <c r="A363" s="49"/>
      <c r="D363" s="49"/>
      <c r="E363" s="49"/>
      <c r="F363" s="49"/>
    </row>
    <row r="364" spans="1:6">
      <c r="A364" s="49"/>
      <c r="D364" s="49"/>
      <c r="E364" s="49"/>
      <c r="F364" s="49"/>
    </row>
    <row r="365" spans="1:6">
      <c r="A365" s="49"/>
      <c r="D365" s="49"/>
      <c r="E365" s="49"/>
      <c r="F365" s="49"/>
    </row>
    <row r="366" spans="1:6">
      <c r="A366" s="49"/>
      <c r="D366" s="49"/>
      <c r="E366" s="49"/>
      <c r="F366" s="49"/>
    </row>
    <row r="367" spans="1:6">
      <c r="A367" s="49"/>
      <c r="D367" s="49"/>
      <c r="E367" s="49"/>
      <c r="F367" s="49"/>
    </row>
    <row r="368" spans="1:6">
      <c r="A368" s="49"/>
      <c r="D368" s="49"/>
      <c r="E368" s="49"/>
      <c r="F368" s="49"/>
    </row>
    <row r="369" spans="1:6">
      <c r="A369" s="49"/>
      <c r="D369" s="49"/>
      <c r="E369" s="49"/>
      <c r="F369" s="49"/>
    </row>
    <row r="370" spans="1:6">
      <c r="A370" s="49"/>
      <c r="D370" s="49"/>
      <c r="E370" s="49"/>
      <c r="F370" s="49"/>
    </row>
    <row r="371" spans="1:6">
      <c r="A371" s="49"/>
      <c r="D371" s="49"/>
      <c r="E371" s="49"/>
      <c r="F371" s="49"/>
    </row>
    <row r="372" spans="1:6">
      <c r="A372" s="49"/>
      <c r="D372" s="49"/>
      <c r="E372" s="49"/>
      <c r="F372" s="49"/>
    </row>
    <row r="373" spans="1:6">
      <c r="A373" s="49"/>
      <c r="D373" s="49"/>
      <c r="E373" s="49"/>
      <c r="F373" s="49"/>
    </row>
    <row r="374" spans="1:6">
      <c r="A374" s="49"/>
      <c r="D374" s="49"/>
      <c r="E374" s="49"/>
      <c r="F374" s="49"/>
    </row>
    <row r="375" spans="1:6">
      <c r="A375" s="49"/>
      <c r="D375" s="49"/>
      <c r="E375" s="49"/>
      <c r="F375" s="49"/>
    </row>
    <row r="376" spans="1:6">
      <c r="A376" s="49"/>
      <c r="D376" s="49"/>
      <c r="E376" s="49"/>
      <c r="F376" s="49"/>
    </row>
    <row r="377" spans="1:6">
      <c r="A377" s="49"/>
      <c r="D377" s="49"/>
      <c r="E377" s="49"/>
      <c r="F377" s="49"/>
    </row>
    <row r="378" spans="1:6">
      <c r="A378" s="49"/>
      <c r="D378" s="49"/>
      <c r="E378" s="49"/>
      <c r="F378" s="49"/>
    </row>
    <row r="379" spans="1:6">
      <c r="A379" s="49"/>
      <c r="D379" s="49"/>
      <c r="E379" s="49"/>
      <c r="F379" s="49"/>
    </row>
    <row r="380" spans="1:6">
      <c r="A380" s="49"/>
      <c r="D380" s="49"/>
      <c r="E380" s="49"/>
      <c r="F380" s="49"/>
    </row>
    <row r="381" spans="1:6">
      <c r="A381" s="49"/>
      <c r="D381" s="49"/>
      <c r="E381" s="49"/>
      <c r="F381" s="49"/>
    </row>
    <row r="382" spans="1:6">
      <c r="A382" s="49"/>
      <c r="D382" s="49"/>
      <c r="E382" s="49"/>
      <c r="F382" s="49"/>
    </row>
    <row r="383" spans="1:6">
      <c r="A383" s="49"/>
      <c r="D383" s="49"/>
      <c r="E383" s="49"/>
      <c r="F383" s="49"/>
    </row>
    <row r="384" spans="1:6">
      <c r="A384" s="49"/>
      <c r="D384" s="49"/>
      <c r="E384" s="49"/>
      <c r="F384" s="49"/>
    </row>
    <row r="385" spans="1:6">
      <c r="A385" s="49"/>
      <c r="D385" s="49"/>
      <c r="E385" s="49"/>
      <c r="F385" s="49"/>
    </row>
    <row r="386" spans="1:6">
      <c r="A386" s="49"/>
      <c r="D386" s="49"/>
      <c r="E386" s="49"/>
      <c r="F386" s="49"/>
    </row>
    <row r="387" spans="1:6">
      <c r="A387" s="49"/>
      <c r="D387" s="49"/>
      <c r="E387" s="49"/>
      <c r="F387" s="49"/>
    </row>
    <row r="388" spans="1:6">
      <c r="A388" s="49"/>
      <c r="D388" s="49"/>
      <c r="E388" s="49"/>
      <c r="F388" s="49"/>
    </row>
    <row r="389" spans="1:6">
      <c r="A389" s="49"/>
      <c r="D389" s="49"/>
      <c r="E389" s="49"/>
      <c r="F389" s="49"/>
    </row>
    <row r="390" spans="1:6">
      <c r="A390" s="49"/>
      <c r="D390" s="49"/>
      <c r="E390" s="49"/>
      <c r="F390" s="49"/>
    </row>
    <row r="391" spans="1:6">
      <c r="A391" s="49"/>
      <c r="D391" s="49"/>
      <c r="E391" s="49"/>
      <c r="F391" s="49"/>
    </row>
    <row r="392" spans="1:6">
      <c r="A392" s="49"/>
      <c r="D392" s="49"/>
      <c r="E392" s="49"/>
      <c r="F392" s="49"/>
    </row>
    <row r="393" spans="1:6">
      <c r="A393" s="49"/>
      <c r="D393" s="49"/>
      <c r="E393" s="49"/>
      <c r="F393" s="49"/>
    </row>
    <row r="394" spans="1:6">
      <c r="A394" s="49"/>
      <c r="D394" s="49"/>
      <c r="E394" s="49"/>
      <c r="F394" s="49"/>
    </row>
    <row r="395" spans="1:6">
      <c r="A395" s="49"/>
      <c r="D395" s="49"/>
      <c r="E395" s="49"/>
      <c r="F395" s="49"/>
    </row>
    <row r="396" spans="1:6">
      <c r="A396" s="49"/>
      <c r="D396" s="49"/>
      <c r="E396" s="49"/>
      <c r="F396" s="49"/>
    </row>
    <row r="397" spans="1:6">
      <c r="A397" s="49"/>
      <c r="D397" s="49"/>
      <c r="E397" s="49"/>
      <c r="F397" s="49"/>
    </row>
    <row r="398" spans="1:6">
      <c r="A398" s="49"/>
      <c r="D398" s="49"/>
      <c r="E398" s="49"/>
      <c r="F398" s="49"/>
    </row>
    <row r="399" spans="1:6">
      <c r="A399" s="49"/>
      <c r="D399" s="49"/>
      <c r="E399" s="49"/>
      <c r="F399" s="49"/>
    </row>
    <row r="400" spans="1:6">
      <c r="A400" s="49"/>
      <c r="D400" s="49"/>
      <c r="E400" s="49"/>
      <c r="F400" s="49"/>
    </row>
    <row r="401" spans="1:6">
      <c r="A401" s="49"/>
      <c r="D401" s="49"/>
      <c r="E401" s="49"/>
      <c r="F401" s="49"/>
    </row>
    <row r="402" spans="1:6">
      <c r="A402" s="49"/>
      <c r="D402" s="49"/>
      <c r="E402" s="49"/>
      <c r="F402" s="49"/>
    </row>
    <row r="403" spans="1:6">
      <c r="A403" s="49"/>
      <c r="D403" s="49"/>
      <c r="E403" s="49"/>
      <c r="F403" s="49"/>
    </row>
    <row r="404" spans="1:6">
      <c r="A404" s="49"/>
      <c r="D404" s="49"/>
      <c r="E404" s="49"/>
      <c r="F404" s="49"/>
    </row>
    <row r="405" spans="1:6">
      <c r="A405" s="49"/>
      <c r="D405" s="49"/>
      <c r="E405" s="49"/>
      <c r="F405" s="49"/>
    </row>
    <row r="406" spans="1:6">
      <c r="A406" s="49"/>
      <c r="D406" s="49"/>
      <c r="E406" s="49"/>
      <c r="F406" s="49"/>
    </row>
    <row r="407" spans="1:6">
      <c r="A407" s="49"/>
      <c r="D407" s="49"/>
      <c r="E407" s="49"/>
      <c r="F407" s="49"/>
    </row>
    <row r="408" spans="1:6">
      <c r="A408" s="49"/>
      <c r="D408" s="49"/>
      <c r="E408" s="49"/>
      <c r="F408" s="49"/>
    </row>
    <row r="409" spans="1:6">
      <c r="A409" s="49"/>
      <c r="D409" s="49"/>
      <c r="E409" s="49"/>
      <c r="F409" s="49"/>
    </row>
    <row r="410" spans="1:6">
      <c r="A410" s="49"/>
      <c r="D410" s="49"/>
      <c r="E410" s="49"/>
      <c r="F410" s="49"/>
    </row>
    <row r="411" spans="1:6">
      <c r="A411" s="49"/>
      <c r="D411" s="49"/>
      <c r="E411" s="49"/>
      <c r="F411" s="49"/>
    </row>
    <row r="412" spans="1:6">
      <c r="A412" s="49"/>
      <c r="D412" s="49"/>
      <c r="E412" s="49"/>
      <c r="F412" s="49"/>
    </row>
    <row r="413" spans="1:6">
      <c r="A413" s="49"/>
      <c r="D413" s="49"/>
      <c r="E413" s="49"/>
      <c r="F413" s="49"/>
    </row>
    <row r="414" spans="1:6">
      <c r="A414" s="49"/>
      <c r="D414" s="49"/>
      <c r="E414" s="49"/>
      <c r="F414" s="49"/>
    </row>
    <row r="415" spans="1:6">
      <c r="A415" s="49"/>
      <c r="D415" s="49"/>
      <c r="E415" s="49"/>
      <c r="F415" s="49"/>
    </row>
    <row r="416" spans="1:6">
      <c r="A416" s="49"/>
      <c r="D416" s="49"/>
      <c r="E416" s="49"/>
      <c r="F416" s="49"/>
    </row>
    <row r="417" spans="1:6">
      <c r="A417" s="49"/>
      <c r="D417" s="49"/>
      <c r="E417" s="49"/>
      <c r="F417" s="49"/>
    </row>
    <row r="418" spans="1:6">
      <c r="A418" s="49"/>
      <c r="D418" s="49"/>
      <c r="E418" s="49"/>
      <c r="F418" s="49"/>
    </row>
    <row r="419" spans="1:6">
      <c r="A419" s="49"/>
      <c r="D419" s="49"/>
      <c r="E419" s="49"/>
      <c r="F419" s="49"/>
    </row>
    <row r="420" spans="1:6">
      <c r="A420" s="49"/>
      <c r="D420" s="49"/>
      <c r="E420" s="49"/>
      <c r="F420" s="49"/>
    </row>
    <row r="421" spans="1:6">
      <c r="A421" s="49"/>
      <c r="D421" s="49"/>
      <c r="E421" s="49"/>
      <c r="F421" s="49"/>
    </row>
    <row r="422" spans="1:6">
      <c r="A422" s="49"/>
      <c r="D422" s="49"/>
      <c r="E422" s="49"/>
      <c r="F422" s="49"/>
    </row>
    <row r="423" spans="1:6">
      <c r="A423" s="49"/>
      <c r="D423" s="49"/>
      <c r="E423" s="49"/>
      <c r="F423" s="49"/>
    </row>
    <row r="424" spans="1:6">
      <c r="A424" s="49"/>
      <c r="D424" s="49"/>
      <c r="E424" s="49"/>
      <c r="F424" s="49"/>
    </row>
    <row r="425" spans="1:6">
      <c r="A425" s="49"/>
      <c r="D425" s="49"/>
      <c r="E425" s="49"/>
      <c r="F425" s="49"/>
    </row>
    <row r="426" spans="1:6">
      <c r="A426" s="49"/>
      <c r="D426" s="49"/>
      <c r="E426" s="49"/>
      <c r="F426" s="49"/>
    </row>
    <row r="427" spans="1:6">
      <c r="A427" s="49"/>
      <c r="D427" s="49"/>
      <c r="E427" s="49"/>
      <c r="F427" s="49"/>
    </row>
    <row r="428" spans="1:6">
      <c r="A428" s="49"/>
      <c r="D428" s="49"/>
      <c r="E428" s="49"/>
      <c r="F428" s="49"/>
    </row>
    <row r="429" spans="1:6">
      <c r="A429" s="49"/>
      <c r="D429" s="49"/>
      <c r="E429" s="49"/>
      <c r="F429" s="49"/>
    </row>
    <row r="430" spans="1:6">
      <c r="A430" s="49"/>
      <c r="D430" s="49"/>
      <c r="E430" s="49"/>
      <c r="F430" s="49"/>
    </row>
    <row r="431" spans="1:6">
      <c r="A431" s="49"/>
      <c r="D431" s="49"/>
      <c r="E431" s="49"/>
      <c r="F431" s="49"/>
    </row>
    <row r="432" spans="1:6">
      <c r="A432" s="49"/>
      <c r="D432" s="49"/>
      <c r="E432" s="49"/>
      <c r="F432" s="49"/>
    </row>
    <row r="433" spans="1:6">
      <c r="A433" s="49"/>
      <c r="D433" s="49"/>
      <c r="E433" s="49"/>
      <c r="F433" s="49"/>
    </row>
    <row r="434" spans="1:6">
      <c r="A434" s="49"/>
      <c r="D434" s="49"/>
      <c r="E434" s="49"/>
      <c r="F434" s="49"/>
    </row>
    <row r="435" spans="1:6">
      <c r="A435" s="49"/>
      <c r="D435" s="49"/>
      <c r="E435" s="49"/>
      <c r="F435" s="49"/>
    </row>
    <row r="436" spans="1:6">
      <c r="A436" s="49"/>
      <c r="D436" s="49"/>
      <c r="E436" s="49"/>
      <c r="F436" s="49"/>
    </row>
    <row r="437" spans="1:6">
      <c r="A437" s="49"/>
      <c r="D437" s="49"/>
      <c r="E437" s="49"/>
      <c r="F437" s="49"/>
    </row>
    <row r="438" spans="1:6">
      <c r="A438" s="49"/>
      <c r="D438" s="49"/>
      <c r="E438" s="49"/>
      <c r="F438" s="49"/>
    </row>
    <row r="439" spans="1:6">
      <c r="A439" s="49"/>
      <c r="D439" s="49"/>
      <c r="E439" s="49"/>
      <c r="F439" s="49"/>
    </row>
    <row r="440" spans="1:6">
      <c r="A440" s="49"/>
      <c r="D440" s="49"/>
      <c r="E440" s="49"/>
      <c r="F440" s="49"/>
    </row>
    <row r="441" spans="1:6">
      <c r="A441" s="49"/>
      <c r="D441" s="49"/>
      <c r="E441" s="49"/>
      <c r="F441" s="49"/>
    </row>
    <row r="442" spans="1:6">
      <c r="A442" s="49"/>
      <c r="D442" s="49"/>
      <c r="E442" s="49"/>
      <c r="F442" s="49"/>
    </row>
    <row r="443" spans="1:6">
      <c r="A443" s="49"/>
      <c r="D443" s="49"/>
      <c r="E443" s="49"/>
      <c r="F443" s="49"/>
    </row>
    <row r="444" spans="1:6">
      <c r="A444" s="49"/>
      <c r="D444" s="49"/>
      <c r="E444" s="49"/>
      <c r="F444" s="49"/>
    </row>
    <row r="445" spans="1:6">
      <c r="A445" s="49"/>
      <c r="D445" s="49"/>
      <c r="E445" s="49"/>
      <c r="F445" s="49"/>
    </row>
    <row r="446" spans="1:6">
      <c r="A446" s="49"/>
      <c r="D446" s="49"/>
      <c r="E446" s="49"/>
      <c r="F446" s="49"/>
    </row>
    <row r="447" spans="1:6">
      <c r="A447" s="49"/>
      <c r="D447" s="49"/>
      <c r="E447" s="49"/>
      <c r="F447" s="49"/>
    </row>
    <row r="448" spans="1:6">
      <c r="A448" s="49"/>
      <c r="D448" s="49"/>
      <c r="E448" s="49"/>
      <c r="F448" s="49"/>
    </row>
    <row r="449" spans="1:6">
      <c r="A449" s="49"/>
      <c r="D449" s="49"/>
      <c r="E449" s="49"/>
      <c r="F449" s="49"/>
    </row>
    <row r="450" spans="1:6">
      <c r="A450" s="49"/>
      <c r="D450" s="49"/>
      <c r="E450" s="49"/>
      <c r="F450" s="49"/>
    </row>
    <row r="451" spans="1:6">
      <c r="A451" s="49"/>
      <c r="D451" s="49"/>
      <c r="E451" s="49"/>
      <c r="F451" s="49"/>
    </row>
    <row r="452" spans="1:6">
      <c r="A452" s="49"/>
      <c r="D452" s="49"/>
      <c r="E452" s="49"/>
      <c r="F452" s="49"/>
    </row>
    <row r="453" spans="1:6">
      <c r="A453" s="49"/>
      <c r="D453" s="49"/>
      <c r="E453" s="49"/>
      <c r="F453" s="49"/>
    </row>
    <row r="454" spans="1:6">
      <c r="A454" s="49"/>
      <c r="D454" s="49"/>
      <c r="E454" s="49"/>
      <c r="F454" s="49"/>
    </row>
    <row r="455" spans="1:6">
      <c r="A455" s="49"/>
      <c r="D455" s="49"/>
      <c r="E455" s="49"/>
      <c r="F455" s="49"/>
    </row>
    <row r="456" spans="1:6">
      <c r="A456" s="49"/>
      <c r="D456" s="49"/>
      <c r="E456" s="49"/>
      <c r="F456" s="49"/>
    </row>
    <row r="457" spans="1:6">
      <c r="A457" s="49"/>
      <c r="D457" s="49"/>
      <c r="E457" s="49"/>
      <c r="F457" s="49"/>
    </row>
    <row r="458" spans="1:6">
      <c r="A458" s="49"/>
      <c r="D458" s="49"/>
      <c r="E458" s="49"/>
      <c r="F458" s="49"/>
    </row>
    <row r="459" spans="1:6">
      <c r="A459" s="49"/>
      <c r="D459" s="49"/>
      <c r="E459" s="49"/>
      <c r="F459" s="49"/>
    </row>
    <row r="460" spans="1:6">
      <c r="A460" s="49"/>
      <c r="D460" s="49"/>
      <c r="E460" s="49"/>
      <c r="F460" s="49"/>
    </row>
    <row r="461" spans="1:6">
      <c r="A461" s="49"/>
      <c r="D461" s="49"/>
      <c r="E461" s="49"/>
      <c r="F461" s="49"/>
    </row>
    <row r="462" spans="1:6">
      <c r="A462" s="49"/>
      <c r="D462" s="49"/>
      <c r="E462" s="49"/>
      <c r="F462" s="49"/>
    </row>
    <row r="463" spans="1:6">
      <c r="A463" s="49"/>
      <c r="D463" s="49"/>
      <c r="E463" s="49"/>
      <c r="F463" s="49"/>
    </row>
    <row r="464" spans="1:6">
      <c r="A464" s="49"/>
      <c r="D464" s="49"/>
      <c r="E464" s="49"/>
      <c r="F464" s="49"/>
    </row>
    <row r="465" spans="1:6">
      <c r="A465" s="49"/>
      <c r="D465" s="49"/>
      <c r="E465" s="49"/>
      <c r="F465" s="49"/>
    </row>
    <row r="466" spans="1:6">
      <c r="A466" s="49"/>
      <c r="D466" s="49"/>
      <c r="E466" s="49"/>
      <c r="F466" s="49"/>
    </row>
    <row r="467" spans="1:6">
      <c r="A467" s="49"/>
      <c r="D467" s="49"/>
      <c r="E467" s="49"/>
      <c r="F467" s="49"/>
    </row>
    <row r="468" spans="1:6">
      <c r="A468" s="49"/>
      <c r="D468" s="49"/>
      <c r="E468" s="49"/>
      <c r="F468" s="49"/>
    </row>
    <row r="469" spans="1:6">
      <c r="A469" s="49"/>
      <c r="D469" s="49"/>
      <c r="E469" s="49"/>
      <c r="F469" s="49"/>
    </row>
    <row r="470" spans="1:6">
      <c r="A470" s="49"/>
      <c r="D470" s="49"/>
      <c r="E470" s="49"/>
      <c r="F470" s="49"/>
    </row>
    <row r="471" spans="1:6">
      <c r="A471" s="49"/>
      <c r="D471" s="49"/>
      <c r="E471" s="49"/>
      <c r="F471" s="49"/>
    </row>
    <row r="472" spans="1:6">
      <c r="A472" s="49"/>
      <c r="D472" s="49"/>
      <c r="E472" s="49"/>
      <c r="F472" s="49"/>
    </row>
    <row r="473" spans="1:6">
      <c r="A473" s="49"/>
      <c r="D473" s="49"/>
      <c r="E473" s="49"/>
      <c r="F473" s="49"/>
    </row>
    <row r="474" spans="1:6">
      <c r="A474" s="49"/>
      <c r="D474" s="49"/>
      <c r="E474" s="49"/>
      <c r="F474" s="49"/>
    </row>
    <row r="475" spans="1:6">
      <c r="A475" s="49"/>
      <c r="D475" s="49"/>
      <c r="E475" s="49"/>
      <c r="F475" s="49"/>
    </row>
    <row r="476" spans="1:6">
      <c r="A476" s="49"/>
      <c r="D476" s="49"/>
      <c r="E476" s="49"/>
      <c r="F476" s="49"/>
    </row>
    <row r="477" spans="1:6">
      <c r="A477" s="49"/>
      <c r="D477" s="49"/>
      <c r="E477" s="49"/>
      <c r="F477" s="49"/>
    </row>
    <row r="478" spans="1:6">
      <c r="A478" s="49"/>
      <c r="D478" s="49"/>
      <c r="E478" s="49"/>
      <c r="F478" s="49"/>
    </row>
    <row r="479" spans="1:6">
      <c r="A479" s="49"/>
      <c r="D479" s="49"/>
      <c r="E479" s="49"/>
      <c r="F479" s="49"/>
    </row>
    <row r="480" spans="1:6">
      <c r="A480" s="49"/>
      <c r="D480" s="49"/>
      <c r="E480" s="49"/>
      <c r="F480" s="49"/>
    </row>
    <row r="481" spans="1:6">
      <c r="A481" s="49"/>
      <c r="D481" s="49"/>
      <c r="E481" s="49"/>
      <c r="F481" s="49"/>
    </row>
    <row r="482" spans="1:6">
      <c r="A482" s="49"/>
      <c r="D482" s="49"/>
      <c r="E482" s="49"/>
      <c r="F482" s="49"/>
    </row>
    <row r="483" spans="1:6">
      <c r="A483" s="49"/>
      <c r="D483" s="49"/>
      <c r="E483" s="49"/>
      <c r="F483" s="49"/>
    </row>
    <row r="484" spans="1:6">
      <c r="A484" s="49"/>
      <c r="D484" s="49"/>
      <c r="E484" s="49"/>
      <c r="F484" s="49"/>
    </row>
    <row r="485" spans="1:6">
      <c r="A485" s="49"/>
      <c r="D485" s="49"/>
      <c r="E485" s="49"/>
      <c r="F485" s="49"/>
    </row>
    <row r="486" spans="1:6">
      <c r="A486" s="49"/>
      <c r="D486" s="49"/>
      <c r="E486" s="49"/>
      <c r="F486" s="49"/>
    </row>
    <row r="487" spans="1:6">
      <c r="A487" s="49"/>
      <c r="D487" s="49"/>
      <c r="E487" s="49"/>
      <c r="F487" s="49"/>
    </row>
    <row r="488" spans="1:6">
      <c r="A488" s="49"/>
      <c r="D488" s="49"/>
      <c r="E488" s="49"/>
      <c r="F488" s="49"/>
    </row>
    <row r="489" spans="1:6">
      <c r="A489" s="49"/>
      <c r="D489" s="49"/>
      <c r="E489" s="49"/>
      <c r="F489" s="49"/>
    </row>
    <row r="490" spans="1:6">
      <c r="A490" s="49"/>
      <c r="D490" s="49"/>
      <c r="E490" s="49"/>
      <c r="F490" s="49"/>
    </row>
    <row r="491" spans="1:6">
      <c r="A491" s="49"/>
      <c r="D491" s="49"/>
      <c r="E491" s="49"/>
      <c r="F491" s="49"/>
    </row>
    <row r="492" spans="1:6">
      <c r="A492" s="49"/>
      <c r="D492" s="49"/>
      <c r="E492" s="49"/>
      <c r="F492" s="49"/>
    </row>
    <row r="493" spans="1:6">
      <c r="A493" s="49"/>
      <c r="D493" s="49"/>
      <c r="E493" s="49"/>
      <c r="F493" s="49"/>
    </row>
    <row r="494" spans="1:6">
      <c r="A494" s="49"/>
      <c r="D494" s="49"/>
      <c r="E494" s="49"/>
      <c r="F494" s="49"/>
    </row>
    <row r="495" spans="1:6">
      <c r="A495" s="49"/>
      <c r="D495" s="49"/>
      <c r="E495" s="49"/>
      <c r="F495" s="49"/>
    </row>
    <row r="496" spans="1:6">
      <c r="A496" s="49"/>
      <c r="D496" s="49"/>
      <c r="E496" s="49"/>
      <c r="F496" s="49"/>
    </row>
    <row r="497" spans="1:6">
      <c r="A497" s="49"/>
      <c r="D497" s="49"/>
      <c r="E497" s="49"/>
      <c r="F497" s="49"/>
    </row>
    <row r="498" spans="1:6">
      <c r="A498" s="49"/>
      <c r="D498" s="49"/>
      <c r="E498" s="49"/>
      <c r="F498" s="49"/>
    </row>
    <row r="499" spans="1:6">
      <c r="A499" s="49"/>
      <c r="D499" s="49"/>
      <c r="E499" s="49"/>
      <c r="F499" s="49"/>
    </row>
    <row r="500" spans="1:6">
      <c r="A500" s="49"/>
      <c r="D500" s="49"/>
      <c r="E500" s="49"/>
      <c r="F500" s="49"/>
    </row>
    <row r="501" spans="1:6">
      <c r="A501" s="49"/>
      <c r="D501" s="49"/>
      <c r="E501" s="49"/>
      <c r="F501" s="49"/>
    </row>
    <row r="502" spans="1:6">
      <c r="A502" s="49"/>
      <c r="D502" s="49"/>
      <c r="E502" s="49"/>
      <c r="F502" s="49"/>
    </row>
    <row r="503" spans="1:6">
      <c r="A503" s="49"/>
      <c r="D503" s="49"/>
      <c r="E503" s="49"/>
      <c r="F503" s="49"/>
    </row>
    <row r="504" spans="1:6">
      <c r="A504" s="49"/>
      <c r="D504" s="49"/>
      <c r="E504" s="49"/>
      <c r="F504" s="49"/>
    </row>
    <row r="505" spans="1:6">
      <c r="A505" s="49"/>
      <c r="D505" s="49"/>
      <c r="E505" s="49"/>
      <c r="F505" s="49"/>
    </row>
    <row r="506" spans="1:6">
      <c r="A506" s="49"/>
      <c r="D506" s="49"/>
      <c r="E506" s="49"/>
      <c r="F506" s="49"/>
    </row>
    <row r="507" spans="1:6">
      <c r="A507" s="49"/>
      <c r="D507" s="49"/>
      <c r="E507" s="49"/>
      <c r="F507" s="49"/>
    </row>
    <row r="508" spans="1:6">
      <c r="A508" s="49"/>
      <c r="D508" s="49"/>
      <c r="E508" s="49"/>
      <c r="F508" s="49"/>
    </row>
    <row r="509" spans="1:6">
      <c r="A509" s="49"/>
      <c r="D509" s="49"/>
      <c r="E509" s="49"/>
      <c r="F509" s="49"/>
    </row>
    <row r="510" spans="1:6">
      <c r="A510" s="49"/>
      <c r="D510" s="49"/>
      <c r="E510" s="49"/>
      <c r="F510" s="49"/>
    </row>
    <row r="511" spans="1:6">
      <c r="A511" s="49"/>
      <c r="D511" s="49"/>
      <c r="E511" s="49"/>
      <c r="F511" s="49"/>
    </row>
    <row r="512" spans="1:6">
      <c r="A512" s="49"/>
      <c r="D512" s="49"/>
      <c r="E512" s="49"/>
      <c r="F512" s="49"/>
    </row>
    <row r="513" spans="1:6">
      <c r="A513" s="49"/>
      <c r="D513" s="49"/>
      <c r="E513" s="49"/>
      <c r="F513" s="49"/>
    </row>
    <row r="514" spans="1:6">
      <c r="A514" s="49"/>
      <c r="D514" s="49"/>
      <c r="E514" s="49"/>
      <c r="F514" s="49"/>
    </row>
    <row r="515" spans="1:6">
      <c r="A515" s="49"/>
      <c r="D515" s="49"/>
      <c r="E515" s="49"/>
      <c r="F515" s="49"/>
    </row>
    <row r="516" spans="1:6">
      <c r="A516" s="49"/>
      <c r="D516" s="49"/>
      <c r="E516" s="49"/>
      <c r="F516" s="49"/>
    </row>
    <row r="517" spans="1:6">
      <c r="A517" s="49"/>
      <c r="D517" s="49"/>
      <c r="E517" s="49"/>
      <c r="F517" s="49"/>
    </row>
    <row r="518" spans="1:6">
      <c r="A518" s="49"/>
      <c r="D518" s="49"/>
      <c r="E518" s="49"/>
      <c r="F518" s="49"/>
    </row>
    <row r="519" spans="1:6">
      <c r="A519" s="49"/>
      <c r="D519" s="49"/>
      <c r="E519" s="49"/>
      <c r="F519" s="49"/>
    </row>
    <row r="520" spans="1:6">
      <c r="A520" s="49"/>
      <c r="D520" s="49"/>
      <c r="E520" s="49"/>
      <c r="F520" s="49"/>
    </row>
    <row r="521" spans="1:6">
      <c r="A521" s="49"/>
      <c r="D521" s="49"/>
      <c r="E521" s="49"/>
      <c r="F521" s="49"/>
    </row>
    <row r="522" spans="1:6">
      <c r="A522" s="49"/>
      <c r="D522" s="49"/>
      <c r="E522" s="49"/>
      <c r="F522" s="49"/>
    </row>
    <row r="523" spans="1:6">
      <c r="A523" s="49"/>
      <c r="D523" s="49"/>
      <c r="E523" s="49"/>
      <c r="F523" s="49"/>
    </row>
    <row r="524" spans="1:6">
      <c r="A524" s="49"/>
      <c r="D524" s="49"/>
      <c r="E524" s="49"/>
      <c r="F524" s="49"/>
    </row>
    <row r="525" spans="1:6">
      <c r="A525" s="49"/>
      <c r="D525" s="49"/>
      <c r="E525" s="49"/>
      <c r="F525" s="49"/>
    </row>
    <row r="526" spans="1:6">
      <c r="A526" s="49"/>
      <c r="D526" s="49"/>
      <c r="E526" s="49"/>
      <c r="F526" s="49"/>
    </row>
    <row r="527" spans="1:6">
      <c r="A527" s="49"/>
      <c r="D527" s="49"/>
      <c r="E527" s="49"/>
      <c r="F527" s="49"/>
    </row>
    <row r="528" spans="1:6">
      <c r="A528" s="49"/>
      <c r="D528" s="49"/>
      <c r="E528" s="49"/>
      <c r="F528" s="49"/>
    </row>
    <row r="529" spans="1:6">
      <c r="A529" s="49"/>
      <c r="D529" s="49"/>
      <c r="E529" s="49"/>
      <c r="F529" s="49"/>
    </row>
    <row r="530" spans="1:6">
      <c r="A530" s="49"/>
      <c r="D530" s="49"/>
      <c r="E530" s="49"/>
      <c r="F530" s="49"/>
    </row>
    <row r="531" spans="1:6">
      <c r="A531" s="49"/>
      <c r="D531" s="49"/>
      <c r="E531" s="49"/>
      <c r="F531" s="49"/>
    </row>
    <row r="532" spans="1:6">
      <c r="A532" s="49"/>
      <c r="D532" s="49"/>
      <c r="E532" s="49"/>
      <c r="F532" s="49"/>
    </row>
    <row r="533" spans="1:6">
      <c r="A533" s="49"/>
      <c r="D533" s="49"/>
      <c r="E533" s="49"/>
      <c r="F533" s="49"/>
    </row>
    <row r="534" spans="1:6">
      <c r="A534" s="49"/>
      <c r="D534" s="49"/>
      <c r="E534" s="49"/>
      <c r="F534" s="49"/>
    </row>
    <row r="535" spans="1:6">
      <c r="A535" s="49"/>
      <c r="D535" s="49"/>
      <c r="E535" s="49"/>
      <c r="F535" s="49"/>
    </row>
    <row r="536" spans="1:6">
      <c r="A536" s="49"/>
      <c r="D536" s="49"/>
      <c r="E536" s="49"/>
      <c r="F536" s="49"/>
    </row>
    <row r="537" spans="1:6">
      <c r="A537" s="49"/>
      <c r="D537" s="49"/>
      <c r="E537" s="49"/>
      <c r="F537" s="49"/>
    </row>
    <row r="538" spans="1:6">
      <c r="A538" s="49"/>
      <c r="D538" s="49"/>
      <c r="E538" s="49"/>
      <c r="F538" s="49"/>
    </row>
    <row r="539" spans="1:6">
      <c r="A539" s="49"/>
      <c r="D539" s="49"/>
      <c r="E539" s="49"/>
      <c r="F539" s="49"/>
    </row>
    <row r="540" spans="1:6">
      <c r="A540" s="49"/>
      <c r="D540" s="49"/>
      <c r="E540" s="49"/>
      <c r="F540" s="49"/>
    </row>
    <row r="541" spans="1:6">
      <c r="A541" s="49"/>
      <c r="D541" s="49"/>
      <c r="E541" s="49"/>
      <c r="F541" s="49"/>
    </row>
    <row r="542" spans="1:6">
      <c r="A542" s="49"/>
      <c r="D542" s="49"/>
      <c r="E542" s="49"/>
      <c r="F542" s="49"/>
    </row>
    <row r="543" spans="1:6">
      <c r="A543" s="49"/>
      <c r="D543" s="49"/>
      <c r="E543" s="49"/>
      <c r="F543" s="49"/>
    </row>
    <row r="544" spans="1:6">
      <c r="A544" s="49"/>
      <c r="D544" s="49"/>
      <c r="E544" s="49"/>
      <c r="F544" s="49"/>
    </row>
    <row r="545" spans="1:6">
      <c r="A545" s="49"/>
      <c r="D545" s="49"/>
      <c r="E545" s="49"/>
      <c r="F545" s="49"/>
    </row>
    <row r="546" spans="1:6">
      <c r="A546" s="49"/>
      <c r="D546" s="49"/>
      <c r="E546" s="49"/>
      <c r="F546" s="49"/>
    </row>
    <row r="547" spans="1:6">
      <c r="A547" s="49"/>
      <c r="D547" s="49"/>
      <c r="E547" s="49"/>
      <c r="F547" s="49"/>
    </row>
    <row r="548" spans="1:6">
      <c r="A548" s="49"/>
      <c r="D548" s="49"/>
      <c r="E548" s="49"/>
      <c r="F548" s="49"/>
    </row>
    <row r="549" spans="1:6">
      <c r="A549" s="49"/>
      <c r="D549" s="49"/>
      <c r="E549" s="49"/>
      <c r="F549" s="49"/>
    </row>
    <row r="550" spans="1:6">
      <c r="A550" s="49"/>
      <c r="D550" s="49"/>
      <c r="E550" s="49"/>
      <c r="F550" s="49"/>
    </row>
    <row r="551" spans="1:6">
      <c r="A551" s="49"/>
      <c r="D551" s="49"/>
      <c r="E551" s="49"/>
      <c r="F551" s="49"/>
    </row>
    <row r="552" spans="1:6">
      <c r="A552" s="49"/>
      <c r="D552" s="49"/>
      <c r="E552" s="49"/>
      <c r="F552" s="49"/>
    </row>
    <row r="553" spans="1:6">
      <c r="A553" s="49"/>
      <c r="D553" s="49"/>
      <c r="E553" s="49"/>
      <c r="F553" s="49"/>
    </row>
    <row r="554" spans="1:6">
      <c r="A554" s="49"/>
      <c r="D554" s="49"/>
      <c r="E554" s="49"/>
      <c r="F554" s="49"/>
    </row>
    <row r="555" spans="1:6">
      <c r="A555" s="49"/>
      <c r="D555" s="49"/>
      <c r="E555" s="49"/>
      <c r="F555" s="49"/>
    </row>
    <row r="556" spans="1:6">
      <c r="A556" s="49"/>
      <c r="D556" s="49"/>
      <c r="E556" s="49"/>
      <c r="F556" s="49"/>
    </row>
    <row r="557" spans="1:6">
      <c r="A557" s="49"/>
      <c r="D557" s="49"/>
      <c r="E557" s="49"/>
      <c r="F557" s="49"/>
    </row>
    <row r="558" spans="1:6">
      <c r="A558" s="49"/>
      <c r="D558" s="49"/>
      <c r="E558" s="49"/>
      <c r="F558" s="49"/>
    </row>
    <row r="559" spans="1:6">
      <c r="A559" s="49"/>
      <c r="D559" s="49"/>
      <c r="E559" s="49"/>
      <c r="F559" s="49"/>
    </row>
    <row r="560" spans="1:6">
      <c r="A560" s="49"/>
      <c r="D560" s="49"/>
      <c r="E560" s="49"/>
      <c r="F560" s="49"/>
    </row>
    <row r="561" spans="1:6">
      <c r="A561" s="49"/>
      <c r="D561" s="49"/>
      <c r="E561" s="49"/>
      <c r="F561" s="49"/>
    </row>
    <row r="562" spans="1:6">
      <c r="A562" s="49"/>
      <c r="D562" s="49"/>
      <c r="E562" s="49"/>
      <c r="F562" s="49"/>
    </row>
    <row r="563" spans="1:6">
      <c r="A563" s="49"/>
      <c r="D563" s="49"/>
      <c r="E563" s="49"/>
      <c r="F563" s="49"/>
    </row>
    <row r="564" spans="1:6">
      <c r="A564" s="49"/>
      <c r="D564" s="49"/>
      <c r="E564" s="49"/>
      <c r="F564" s="49"/>
    </row>
    <row r="565" spans="1:6">
      <c r="A565" s="49"/>
      <c r="D565" s="49"/>
      <c r="E565" s="49"/>
      <c r="F565" s="49"/>
    </row>
    <row r="566" spans="1:6">
      <c r="A566" s="49"/>
      <c r="D566" s="49"/>
      <c r="E566" s="49"/>
      <c r="F566" s="49"/>
    </row>
    <row r="567" spans="1:6">
      <c r="A567" s="49"/>
      <c r="D567" s="49"/>
      <c r="E567" s="49"/>
      <c r="F567" s="49"/>
    </row>
    <row r="568" spans="1:6">
      <c r="A568" s="49"/>
      <c r="D568" s="49"/>
      <c r="E568" s="49"/>
      <c r="F568" s="49"/>
    </row>
    <row r="569" spans="1:6">
      <c r="A569" s="49"/>
      <c r="D569" s="49"/>
      <c r="E569" s="49"/>
      <c r="F569" s="49"/>
    </row>
    <row r="570" spans="1:6">
      <c r="A570" s="49"/>
      <c r="D570" s="49"/>
      <c r="E570" s="49"/>
      <c r="F570" s="49"/>
    </row>
    <row r="571" spans="1:6">
      <c r="A571" s="49"/>
      <c r="D571" s="49"/>
      <c r="E571" s="49"/>
      <c r="F571" s="49"/>
    </row>
    <row r="572" spans="1:6">
      <c r="A572" s="49"/>
      <c r="D572" s="49"/>
      <c r="E572" s="49"/>
      <c r="F572" s="49"/>
    </row>
    <row r="573" spans="1:6">
      <c r="A573" s="49"/>
      <c r="D573" s="49"/>
      <c r="E573" s="49"/>
      <c r="F573" s="49"/>
    </row>
    <row r="574" spans="1:6">
      <c r="A574" s="49"/>
      <c r="D574" s="49"/>
      <c r="E574" s="49"/>
      <c r="F574" s="49"/>
    </row>
    <row r="575" spans="1:6">
      <c r="A575" s="49"/>
      <c r="D575" s="49"/>
      <c r="E575" s="49"/>
      <c r="F575" s="49"/>
    </row>
    <row r="576" spans="1:6">
      <c r="A576" s="49"/>
      <c r="D576" s="49"/>
      <c r="E576" s="49"/>
      <c r="F576" s="49"/>
    </row>
    <row r="577" spans="1:6">
      <c r="A577" s="49"/>
      <c r="D577" s="49"/>
      <c r="E577" s="49"/>
      <c r="F577" s="49"/>
    </row>
    <row r="578" spans="1:6">
      <c r="A578" s="49"/>
      <c r="D578" s="49"/>
      <c r="E578" s="49"/>
      <c r="F578" s="49"/>
    </row>
    <row r="579" spans="1:6">
      <c r="A579" s="49"/>
      <c r="D579" s="49"/>
      <c r="E579" s="49"/>
      <c r="F579" s="49"/>
    </row>
    <row r="580" spans="1:6">
      <c r="A580" s="49"/>
      <c r="D580" s="49"/>
      <c r="E580" s="49"/>
      <c r="F580" s="49"/>
    </row>
    <row r="581" spans="1:6">
      <c r="A581" s="49"/>
      <c r="D581" s="49"/>
      <c r="E581" s="49"/>
      <c r="F581" s="49"/>
    </row>
    <row r="582" spans="1:6">
      <c r="A582" s="49"/>
      <c r="D582" s="49"/>
      <c r="E582" s="49"/>
      <c r="F582" s="49"/>
    </row>
    <row r="583" spans="1:6">
      <c r="A583" s="49"/>
      <c r="D583" s="49"/>
      <c r="E583" s="49"/>
      <c r="F583" s="49"/>
    </row>
    <row r="584" spans="1:6">
      <c r="A584" s="49"/>
      <c r="D584" s="49"/>
      <c r="E584" s="49"/>
      <c r="F584" s="49"/>
    </row>
    <row r="585" spans="1:6">
      <c r="A585" s="49"/>
      <c r="D585" s="49"/>
      <c r="E585" s="49"/>
      <c r="F585" s="49"/>
    </row>
    <row r="586" spans="1:6">
      <c r="A586" s="49"/>
      <c r="D586" s="49"/>
      <c r="E586" s="49"/>
      <c r="F586" s="49"/>
    </row>
    <row r="587" spans="1:6">
      <c r="A587" s="49"/>
      <c r="D587" s="49"/>
      <c r="E587" s="49"/>
      <c r="F587" s="49"/>
    </row>
    <row r="588" spans="1:6">
      <c r="A588" s="49"/>
      <c r="D588" s="49"/>
      <c r="E588" s="49"/>
      <c r="F588" s="49"/>
    </row>
    <row r="589" spans="1:6">
      <c r="A589" s="49"/>
      <c r="D589" s="49"/>
      <c r="E589" s="49"/>
      <c r="F589" s="49"/>
    </row>
    <row r="590" spans="1:6">
      <c r="A590" s="49"/>
      <c r="D590" s="49"/>
      <c r="E590" s="49"/>
      <c r="F590" s="49"/>
    </row>
    <row r="591" spans="1:6">
      <c r="A591" s="49"/>
      <c r="D591" s="49"/>
      <c r="E591" s="49"/>
      <c r="F591" s="49"/>
    </row>
    <row r="592" spans="1:6">
      <c r="A592" s="49"/>
      <c r="D592" s="49"/>
      <c r="E592" s="49"/>
      <c r="F592" s="49"/>
    </row>
    <row r="593" spans="1:6">
      <c r="A593" s="49"/>
      <c r="D593" s="49"/>
      <c r="E593" s="49"/>
      <c r="F593" s="49"/>
    </row>
    <row r="594" spans="1:6">
      <c r="A594" s="49"/>
      <c r="D594" s="49"/>
      <c r="E594" s="49"/>
      <c r="F594" s="49"/>
    </row>
    <row r="595" spans="1:6">
      <c r="A595" s="49"/>
      <c r="D595" s="49"/>
      <c r="E595" s="49"/>
      <c r="F595" s="49"/>
    </row>
    <row r="596" spans="1:6">
      <c r="A596" s="49"/>
      <c r="D596" s="49"/>
      <c r="E596" s="49"/>
      <c r="F596" s="49"/>
    </row>
    <row r="597" spans="1:6">
      <c r="A597" s="49"/>
      <c r="D597" s="49"/>
      <c r="E597" s="49"/>
      <c r="F597" s="49"/>
    </row>
    <row r="598" spans="1:6">
      <c r="A598" s="49"/>
      <c r="D598" s="49"/>
      <c r="E598" s="49"/>
      <c r="F598" s="49"/>
    </row>
    <row r="599" spans="1:6">
      <c r="A599" s="49"/>
      <c r="D599" s="49"/>
      <c r="E599" s="49"/>
      <c r="F599" s="49"/>
    </row>
    <row r="600" spans="1:6">
      <c r="A600" s="49"/>
      <c r="D600" s="49"/>
      <c r="E600" s="49"/>
      <c r="F600" s="49"/>
    </row>
    <row r="601" spans="1:6">
      <c r="A601" s="49"/>
      <c r="D601" s="49"/>
      <c r="E601" s="49"/>
      <c r="F601" s="49"/>
    </row>
    <row r="602" spans="1:6">
      <c r="A602" s="49"/>
      <c r="D602" s="49"/>
      <c r="E602" s="49"/>
      <c r="F602" s="49"/>
    </row>
    <row r="603" spans="1:6">
      <c r="A603" s="49"/>
      <c r="D603" s="49"/>
      <c r="E603" s="49"/>
      <c r="F603" s="49"/>
    </row>
    <row r="604" spans="1:6">
      <c r="A604" s="49"/>
      <c r="D604" s="49"/>
      <c r="E604" s="49"/>
      <c r="F604" s="49"/>
    </row>
    <row r="605" spans="1:6">
      <c r="A605" s="49"/>
      <c r="D605" s="49"/>
      <c r="E605" s="49"/>
      <c r="F605" s="49"/>
    </row>
    <row r="606" spans="1:6">
      <c r="A606" s="49"/>
      <c r="D606" s="49"/>
      <c r="E606" s="49"/>
      <c r="F606" s="49"/>
    </row>
    <row r="607" spans="1:6">
      <c r="A607" s="49"/>
      <c r="D607" s="49"/>
      <c r="E607" s="49"/>
      <c r="F607" s="49"/>
    </row>
    <row r="608" spans="1:6">
      <c r="A608" s="49"/>
      <c r="D608" s="49"/>
      <c r="E608" s="49"/>
      <c r="F608" s="49"/>
    </row>
    <row r="609" spans="1:6">
      <c r="A609" s="49"/>
      <c r="D609" s="49"/>
      <c r="E609" s="49"/>
      <c r="F609" s="49"/>
    </row>
    <row r="610" spans="1:6">
      <c r="A610" s="49"/>
      <c r="D610" s="49"/>
      <c r="E610" s="49"/>
      <c r="F610" s="49"/>
    </row>
    <row r="611" spans="1:6">
      <c r="A611" s="49"/>
      <c r="D611" s="49"/>
      <c r="E611" s="49"/>
      <c r="F611" s="49"/>
    </row>
    <row r="612" spans="1:6">
      <c r="A612" s="49"/>
      <c r="D612" s="49"/>
      <c r="E612" s="49"/>
      <c r="F612" s="49"/>
    </row>
    <row r="613" spans="1:6">
      <c r="A613" s="49"/>
      <c r="D613" s="49"/>
      <c r="E613" s="49"/>
      <c r="F613" s="49"/>
    </row>
    <row r="614" spans="1:6">
      <c r="A614" s="49"/>
      <c r="D614" s="49"/>
      <c r="E614" s="49"/>
      <c r="F614" s="49"/>
    </row>
    <row r="615" spans="1:6">
      <c r="A615" s="49"/>
      <c r="D615" s="49"/>
      <c r="E615" s="49"/>
      <c r="F615" s="49"/>
    </row>
    <row r="616" spans="1:6">
      <c r="A616" s="49"/>
      <c r="D616" s="49"/>
      <c r="E616" s="49"/>
      <c r="F616" s="49"/>
    </row>
    <row r="617" spans="1:6">
      <c r="A617" s="49"/>
      <c r="D617" s="49"/>
      <c r="E617" s="49"/>
      <c r="F617" s="49"/>
    </row>
    <row r="618" spans="1:6">
      <c r="A618" s="49"/>
      <c r="D618" s="49"/>
      <c r="E618" s="49"/>
      <c r="F618" s="49"/>
    </row>
    <row r="619" spans="1:6">
      <c r="A619" s="49"/>
      <c r="D619" s="49"/>
      <c r="E619" s="49"/>
      <c r="F619" s="49"/>
    </row>
    <row r="620" spans="1:6">
      <c r="A620" s="49"/>
      <c r="D620" s="49"/>
      <c r="E620" s="49"/>
      <c r="F620" s="49"/>
    </row>
    <row r="621" spans="1:6">
      <c r="A621" s="49"/>
      <c r="D621" s="49"/>
      <c r="E621" s="49"/>
      <c r="F621" s="49"/>
    </row>
    <row r="622" spans="1:6">
      <c r="A622" s="49"/>
      <c r="D622" s="49"/>
      <c r="E622" s="49"/>
      <c r="F622" s="49"/>
    </row>
    <row r="623" spans="1:6">
      <c r="A623" s="49"/>
      <c r="D623" s="49"/>
      <c r="E623" s="49"/>
      <c r="F623" s="49"/>
    </row>
    <row r="624" spans="1:6">
      <c r="A624" s="49"/>
      <c r="D624" s="49"/>
      <c r="E624" s="49"/>
      <c r="F624" s="49"/>
    </row>
    <row r="625" spans="1:6">
      <c r="A625" s="49"/>
      <c r="D625" s="49"/>
      <c r="E625" s="49"/>
      <c r="F625" s="49"/>
    </row>
    <row r="626" spans="1:6">
      <c r="A626" s="49"/>
      <c r="D626" s="49"/>
      <c r="E626" s="49"/>
      <c r="F626" s="49"/>
    </row>
    <row r="627" spans="1:6">
      <c r="A627" s="49"/>
      <c r="D627" s="49"/>
      <c r="E627" s="49"/>
      <c r="F627" s="49"/>
    </row>
    <row r="628" spans="1:6">
      <c r="A628" s="49"/>
      <c r="D628" s="49"/>
      <c r="E628" s="49"/>
      <c r="F628" s="49"/>
    </row>
    <row r="629" spans="1:6">
      <c r="A629" s="49"/>
      <c r="D629" s="49"/>
      <c r="E629" s="49"/>
      <c r="F629" s="49"/>
    </row>
    <row r="630" spans="1:6">
      <c r="A630" s="49"/>
      <c r="D630" s="49"/>
      <c r="E630" s="49"/>
      <c r="F630" s="49"/>
    </row>
    <row r="631" spans="1:6">
      <c r="A631" s="49"/>
      <c r="D631" s="49"/>
      <c r="E631" s="49"/>
      <c r="F631" s="49"/>
    </row>
    <row r="632" spans="1:6">
      <c r="A632" s="49"/>
      <c r="D632" s="49"/>
      <c r="E632" s="49"/>
      <c r="F632" s="49"/>
    </row>
    <row r="633" spans="1:6">
      <c r="A633" s="49"/>
      <c r="D633" s="49"/>
      <c r="E633" s="49"/>
      <c r="F633" s="49"/>
    </row>
    <row r="634" spans="1:6">
      <c r="A634" s="49"/>
      <c r="D634" s="49"/>
      <c r="E634" s="49"/>
      <c r="F634" s="49"/>
    </row>
    <row r="635" spans="1:6">
      <c r="A635" s="49"/>
      <c r="D635" s="49"/>
      <c r="E635" s="49"/>
      <c r="F635" s="49"/>
    </row>
    <row r="636" spans="1:6">
      <c r="A636" s="49"/>
      <c r="D636" s="49"/>
      <c r="E636" s="49"/>
      <c r="F636" s="49"/>
    </row>
    <row r="637" spans="1:6">
      <c r="A637" s="49"/>
      <c r="D637" s="49"/>
      <c r="E637" s="49"/>
      <c r="F637" s="49"/>
    </row>
    <row r="638" spans="1:6">
      <c r="A638" s="49"/>
      <c r="D638" s="49"/>
      <c r="E638" s="49"/>
      <c r="F638" s="49"/>
    </row>
    <row r="639" spans="1:6">
      <c r="A639" s="49"/>
      <c r="D639" s="49"/>
      <c r="E639" s="49"/>
      <c r="F639" s="49"/>
    </row>
    <row r="640" spans="1:6">
      <c r="A640" s="49"/>
      <c r="D640" s="49"/>
      <c r="E640" s="49"/>
      <c r="F640" s="49"/>
    </row>
    <row r="641" spans="1:6">
      <c r="A641" s="49"/>
      <c r="D641" s="49"/>
      <c r="E641" s="49"/>
      <c r="F641" s="49"/>
    </row>
    <row r="642" spans="1:6">
      <c r="A642" s="49"/>
      <c r="D642" s="49"/>
      <c r="E642" s="49"/>
      <c r="F642" s="49"/>
    </row>
    <row r="643" spans="1:6">
      <c r="A643" s="49"/>
      <c r="D643" s="49"/>
      <c r="E643" s="49"/>
      <c r="F643" s="49"/>
    </row>
    <row r="644" spans="1:6">
      <c r="A644" s="49"/>
      <c r="D644" s="49"/>
      <c r="E644" s="49"/>
      <c r="F644" s="49"/>
    </row>
    <row r="645" spans="1:6">
      <c r="A645" s="49"/>
      <c r="D645" s="49"/>
      <c r="E645" s="49"/>
      <c r="F645" s="49"/>
    </row>
    <row r="646" spans="1:6">
      <c r="A646" s="49"/>
      <c r="D646" s="49"/>
      <c r="E646" s="49"/>
      <c r="F646" s="49"/>
    </row>
    <row r="647" spans="1:6">
      <c r="A647" s="49"/>
      <c r="D647" s="49"/>
      <c r="E647" s="49"/>
      <c r="F647" s="49"/>
    </row>
    <row r="648" spans="1:6">
      <c r="A648" s="49"/>
      <c r="D648" s="49"/>
      <c r="E648" s="49"/>
      <c r="F648" s="49"/>
    </row>
    <row r="649" spans="1:6">
      <c r="A649" s="49"/>
      <c r="D649" s="49"/>
      <c r="E649" s="49"/>
      <c r="F649" s="49"/>
    </row>
    <row r="650" spans="1:6">
      <c r="A650" s="49"/>
      <c r="D650" s="49"/>
      <c r="E650" s="49"/>
      <c r="F650" s="49"/>
    </row>
    <row r="651" spans="1:6">
      <c r="A651" s="49"/>
      <c r="D651" s="49"/>
      <c r="E651" s="49"/>
      <c r="F651" s="49"/>
    </row>
    <row r="652" spans="1:6">
      <c r="A652" s="49"/>
      <c r="D652" s="49"/>
      <c r="E652" s="49"/>
      <c r="F652" s="49"/>
    </row>
    <row r="653" spans="1:6">
      <c r="A653" s="49"/>
      <c r="D653" s="49"/>
      <c r="E653" s="49"/>
      <c r="F653" s="49"/>
    </row>
    <row r="654" spans="1:6">
      <c r="A654" s="49"/>
      <c r="D654" s="49"/>
      <c r="E654" s="49"/>
      <c r="F654" s="49"/>
    </row>
    <row r="655" spans="1:6">
      <c r="A655" s="49"/>
      <c r="D655" s="49"/>
      <c r="E655" s="49"/>
      <c r="F655" s="49"/>
    </row>
    <row r="656" spans="1:6">
      <c r="A656" s="49"/>
      <c r="D656" s="49"/>
      <c r="E656" s="49"/>
      <c r="F656" s="49"/>
    </row>
    <row r="657" spans="1:6">
      <c r="A657" s="49"/>
      <c r="D657" s="49"/>
      <c r="E657" s="49"/>
      <c r="F657" s="49"/>
    </row>
    <row r="658" spans="1:6">
      <c r="A658" s="49"/>
      <c r="D658" s="49"/>
      <c r="E658" s="49"/>
      <c r="F658" s="49"/>
    </row>
    <row r="659" spans="1:6">
      <c r="A659" s="49"/>
      <c r="D659" s="49"/>
      <c r="E659" s="49"/>
      <c r="F659" s="49"/>
    </row>
    <row r="660" spans="1:6">
      <c r="A660" s="49"/>
      <c r="D660" s="49"/>
      <c r="E660" s="49"/>
      <c r="F660" s="49"/>
    </row>
    <row r="661" spans="1:6">
      <c r="A661" s="49"/>
      <c r="D661" s="49"/>
      <c r="E661" s="49"/>
      <c r="F661" s="49"/>
    </row>
    <row r="662" spans="1:6">
      <c r="A662" s="49"/>
      <c r="D662" s="49"/>
      <c r="E662" s="49"/>
      <c r="F662" s="49"/>
    </row>
    <row r="663" spans="1:6">
      <c r="A663" s="49"/>
      <c r="D663" s="49"/>
      <c r="E663" s="49"/>
      <c r="F663" s="49"/>
    </row>
    <row r="664" spans="1:6">
      <c r="A664" s="49"/>
      <c r="D664" s="49"/>
      <c r="E664" s="49"/>
      <c r="F664" s="49"/>
    </row>
    <row r="665" spans="1:6">
      <c r="A665" s="49"/>
      <c r="D665" s="49"/>
      <c r="E665" s="49"/>
      <c r="F665" s="49"/>
    </row>
    <row r="666" spans="1:6">
      <c r="A666" s="49"/>
      <c r="D666" s="49"/>
      <c r="E666" s="49"/>
      <c r="F666" s="49"/>
    </row>
    <row r="667" spans="1:6">
      <c r="A667" s="49"/>
      <c r="D667" s="49"/>
      <c r="E667" s="49"/>
      <c r="F667" s="49"/>
    </row>
    <row r="668" spans="1:6">
      <c r="A668" s="49"/>
      <c r="D668" s="49"/>
      <c r="E668" s="49"/>
      <c r="F668" s="49"/>
    </row>
    <row r="669" spans="1:6">
      <c r="A669" s="49"/>
      <c r="D669" s="49"/>
      <c r="E669" s="49"/>
      <c r="F669" s="49"/>
    </row>
    <row r="670" spans="1:6">
      <c r="A670" s="49"/>
      <c r="D670" s="49"/>
      <c r="E670" s="49"/>
      <c r="F670" s="49"/>
    </row>
    <row r="671" spans="1:6">
      <c r="A671" s="49"/>
      <c r="D671" s="49"/>
      <c r="E671" s="49"/>
      <c r="F671" s="49"/>
    </row>
    <row r="672" spans="1:6">
      <c r="A672" s="49"/>
      <c r="D672" s="49"/>
      <c r="E672" s="49"/>
      <c r="F672" s="49"/>
    </row>
    <row r="673" spans="1:6">
      <c r="A673" s="49"/>
      <c r="D673" s="49"/>
      <c r="E673" s="49"/>
      <c r="F673" s="49"/>
    </row>
    <row r="674" spans="1:6">
      <c r="A674" s="49"/>
      <c r="D674" s="49"/>
      <c r="E674" s="49"/>
      <c r="F674" s="49"/>
    </row>
    <row r="675" spans="1:6">
      <c r="A675" s="49"/>
      <c r="D675" s="49"/>
      <c r="E675" s="49"/>
      <c r="F675" s="49"/>
    </row>
    <row r="676" spans="1:6">
      <c r="A676" s="49"/>
      <c r="D676" s="49"/>
      <c r="E676" s="49"/>
      <c r="F676" s="49"/>
    </row>
    <row r="677" spans="1:6">
      <c r="A677" s="49"/>
      <c r="D677" s="49"/>
      <c r="E677" s="49"/>
      <c r="F677" s="49"/>
    </row>
    <row r="678" spans="1:6">
      <c r="A678" s="49"/>
      <c r="D678" s="49"/>
      <c r="E678" s="49"/>
      <c r="F678" s="49"/>
    </row>
    <row r="679" spans="1:6">
      <c r="A679" s="49"/>
      <c r="D679" s="49"/>
      <c r="E679" s="49"/>
      <c r="F679" s="49"/>
    </row>
    <row r="680" spans="1:6">
      <c r="A680" s="49"/>
      <c r="D680" s="49"/>
      <c r="E680" s="49"/>
      <c r="F680" s="49"/>
    </row>
    <row r="681" spans="1:6">
      <c r="A681" s="49"/>
      <c r="D681" s="49"/>
      <c r="E681" s="49"/>
      <c r="F681" s="49"/>
    </row>
    <row r="682" spans="1:6">
      <c r="A682" s="49"/>
      <c r="D682" s="49"/>
      <c r="E682" s="49"/>
      <c r="F682" s="49"/>
    </row>
    <row r="683" spans="1:6">
      <c r="A683" s="49"/>
      <c r="D683" s="49"/>
      <c r="E683" s="49"/>
      <c r="F683" s="49"/>
    </row>
    <row r="684" spans="1:6">
      <c r="A684" s="49"/>
      <c r="D684" s="49"/>
      <c r="E684" s="49"/>
      <c r="F684" s="49"/>
    </row>
    <row r="685" spans="1:6">
      <c r="A685" s="49"/>
      <c r="D685" s="49"/>
      <c r="E685" s="49"/>
      <c r="F685" s="49"/>
    </row>
    <row r="686" spans="1:6">
      <c r="A686" s="49"/>
      <c r="D686" s="49"/>
      <c r="E686" s="49"/>
      <c r="F686" s="49"/>
    </row>
    <row r="687" spans="1:6">
      <c r="A687" s="49"/>
      <c r="D687" s="49"/>
      <c r="E687" s="49"/>
      <c r="F687" s="49"/>
    </row>
    <row r="688" spans="1:6">
      <c r="A688" s="49"/>
      <c r="D688" s="49"/>
      <c r="E688" s="49"/>
      <c r="F688" s="49"/>
    </row>
    <row r="689" spans="1:6">
      <c r="A689" s="49"/>
      <c r="D689" s="49"/>
      <c r="E689" s="49"/>
      <c r="F689" s="49"/>
    </row>
    <row r="690" spans="1:6">
      <c r="A690" s="49"/>
      <c r="D690" s="49"/>
      <c r="E690" s="49"/>
      <c r="F690" s="49"/>
    </row>
    <row r="691" spans="1:6">
      <c r="A691" s="49"/>
      <c r="D691" s="49"/>
      <c r="E691" s="49"/>
      <c r="F691" s="49"/>
    </row>
    <row r="692" spans="1:6">
      <c r="A692" s="49"/>
      <c r="D692" s="49"/>
      <c r="E692" s="49"/>
      <c r="F692" s="49"/>
    </row>
    <row r="693" spans="1:6">
      <c r="A693" s="49"/>
      <c r="D693" s="49"/>
      <c r="E693" s="49"/>
      <c r="F693" s="49"/>
    </row>
    <row r="694" spans="1:6">
      <c r="A694" s="49"/>
      <c r="D694" s="49"/>
      <c r="E694" s="49"/>
      <c r="F694" s="49"/>
    </row>
    <row r="695" spans="1:6">
      <c r="A695" s="49"/>
      <c r="D695" s="49"/>
      <c r="E695" s="49"/>
      <c r="F695" s="49"/>
    </row>
    <row r="696" spans="1:6">
      <c r="A696" s="49"/>
      <c r="D696" s="49"/>
      <c r="E696" s="49"/>
      <c r="F696" s="49"/>
    </row>
    <row r="697" spans="1:6">
      <c r="A697" s="49"/>
      <c r="D697" s="49"/>
      <c r="E697" s="49"/>
      <c r="F697" s="49"/>
    </row>
    <row r="698" spans="1:6">
      <c r="A698" s="49"/>
      <c r="D698" s="49"/>
      <c r="E698" s="49"/>
      <c r="F698" s="49"/>
    </row>
    <row r="699" spans="1:6">
      <c r="A699" s="49"/>
      <c r="D699" s="49"/>
      <c r="E699" s="49"/>
      <c r="F699" s="49"/>
    </row>
    <row r="700" spans="1:6">
      <c r="A700" s="49"/>
      <c r="D700" s="49"/>
      <c r="E700" s="49"/>
      <c r="F700" s="49"/>
    </row>
    <row r="701" spans="1:6">
      <c r="A701" s="49"/>
      <c r="D701" s="49"/>
      <c r="E701" s="49"/>
      <c r="F701" s="49"/>
    </row>
    <row r="702" spans="1:6">
      <c r="A702" s="49"/>
      <c r="D702" s="49"/>
      <c r="E702" s="49"/>
      <c r="F702" s="49"/>
    </row>
    <row r="703" spans="1:6">
      <c r="A703" s="49"/>
      <c r="D703" s="49"/>
      <c r="E703" s="49"/>
      <c r="F703" s="49"/>
    </row>
    <row r="704" spans="1:6">
      <c r="A704" s="49"/>
      <c r="D704" s="49"/>
      <c r="E704" s="49"/>
      <c r="F704" s="49"/>
    </row>
    <row r="705" spans="1:6">
      <c r="A705" s="49"/>
      <c r="D705" s="49"/>
      <c r="E705" s="49"/>
      <c r="F705" s="49"/>
    </row>
    <row r="706" spans="1:6">
      <c r="A706" s="49"/>
      <c r="D706" s="49"/>
      <c r="E706" s="49"/>
      <c r="F706" s="49"/>
    </row>
    <row r="707" spans="1:6">
      <c r="A707" s="49"/>
      <c r="D707" s="49"/>
      <c r="E707" s="49"/>
      <c r="F707" s="49"/>
    </row>
    <row r="708" spans="1:6">
      <c r="A708" s="49"/>
      <c r="D708" s="49"/>
      <c r="E708" s="49"/>
      <c r="F708" s="49"/>
    </row>
    <row r="709" spans="1:6">
      <c r="A709" s="49"/>
      <c r="D709" s="49"/>
      <c r="E709" s="49"/>
      <c r="F709" s="49"/>
    </row>
    <row r="710" spans="1:6">
      <c r="A710" s="49"/>
      <c r="D710" s="49"/>
      <c r="E710" s="49"/>
      <c r="F710" s="49"/>
    </row>
    <row r="711" spans="1:6">
      <c r="A711" s="49"/>
      <c r="D711" s="49"/>
      <c r="E711" s="49"/>
      <c r="F711" s="49"/>
    </row>
    <row r="712" spans="1:6">
      <c r="A712" s="49"/>
      <c r="D712" s="49"/>
      <c r="E712" s="49"/>
      <c r="F712" s="49"/>
    </row>
    <row r="713" spans="1:6">
      <c r="A713" s="49"/>
      <c r="D713" s="49"/>
      <c r="E713" s="49"/>
      <c r="F713" s="49"/>
    </row>
    <row r="714" spans="1:6">
      <c r="A714" s="49"/>
      <c r="D714" s="49"/>
      <c r="E714" s="49"/>
      <c r="F714" s="49"/>
    </row>
    <row r="715" spans="1:6">
      <c r="A715" s="49"/>
      <c r="D715" s="49"/>
      <c r="E715" s="49"/>
      <c r="F715" s="49"/>
    </row>
    <row r="716" spans="1:6">
      <c r="A716" s="49"/>
      <c r="D716" s="49"/>
      <c r="E716" s="49"/>
      <c r="F716" s="49"/>
    </row>
    <row r="717" spans="1:6">
      <c r="A717" s="49"/>
      <c r="D717" s="49"/>
      <c r="E717" s="49"/>
      <c r="F717" s="49"/>
    </row>
    <row r="718" spans="1:6">
      <c r="A718" s="49"/>
      <c r="D718" s="49"/>
      <c r="E718" s="49"/>
      <c r="F718" s="49"/>
    </row>
    <row r="719" spans="1:6">
      <c r="A719" s="49"/>
      <c r="D719" s="49"/>
      <c r="E719" s="49"/>
      <c r="F719" s="49"/>
    </row>
    <row r="720" spans="1:6">
      <c r="A720" s="49"/>
      <c r="D720" s="49"/>
      <c r="E720" s="49"/>
      <c r="F720" s="49"/>
    </row>
    <row r="721" spans="1:6">
      <c r="A721" s="49"/>
      <c r="D721" s="49"/>
      <c r="E721" s="49"/>
      <c r="F721" s="49"/>
    </row>
    <row r="722" spans="1:6">
      <c r="A722" s="49"/>
      <c r="D722" s="49"/>
      <c r="E722" s="49"/>
      <c r="F722" s="49"/>
    </row>
    <row r="723" spans="1:6">
      <c r="A723" s="49"/>
      <c r="D723" s="49"/>
      <c r="E723" s="49"/>
      <c r="F723" s="49"/>
    </row>
    <row r="724" spans="1:6">
      <c r="A724" s="49"/>
      <c r="D724" s="49"/>
      <c r="E724" s="49"/>
      <c r="F724" s="49"/>
    </row>
    <row r="725" spans="1:6">
      <c r="A725" s="49"/>
      <c r="D725" s="49"/>
      <c r="E725" s="49"/>
      <c r="F725" s="49"/>
    </row>
    <row r="726" spans="1:6">
      <c r="A726" s="49"/>
      <c r="D726" s="49"/>
      <c r="E726" s="49"/>
      <c r="F726" s="49"/>
    </row>
    <row r="727" spans="1:6">
      <c r="A727" s="49"/>
      <c r="D727" s="49"/>
      <c r="E727" s="49"/>
      <c r="F727" s="49"/>
    </row>
    <row r="728" spans="1:6">
      <c r="A728" s="49"/>
      <c r="D728" s="49"/>
      <c r="E728" s="49"/>
      <c r="F728" s="49"/>
    </row>
    <row r="729" spans="1:6">
      <c r="A729" s="49"/>
      <c r="D729" s="49"/>
      <c r="E729" s="49"/>
      <c r="F729" s="49"/>
    </row>
    <row r="730" spans="1:6">
      <c r="A730" s="49"/>
      <c r="D730" s="49"/>
      <c r="E730" s="49"/>
      <c r="F730" s="49"/>
    </row>
    <row r="731" spans="1:6">
      <c r="A731" s="49"/>
      <c r="D731" s="49"/>
      <c r="E731" s="49"/>
      <c r="F731" s="49"/>
    </row>
    <row r="732" spans="1:6">
      <c r="A732" s="49"/>
      <c r="D732" s="49"/>
      <c r="E732" s="49"/>
      <c r="F732" s="49"/>
    </row>
    <row r="733" spans="1:6">
      <c r="A733" s="49"/>
      <c r="D733" s="49"/>
      <c r="E733" s="49"/>
      <c r="F733" s="49"/>
    </row>
    <row r="734" spans="1:6">
      <c r="A734" s="49"/>
      <c r="D734" s="49"/>
      <c r="E734" s="49"/>
      <c r="F734" s="49"/>
    </row>
    <row r="735" spans="1:6">
      <c r="A735" s="49"/>
      <c r="D735" s="49"/>
      <c r="E735" s="49"/>
      <c r="F735" s="49"/>
    </row>
    <row r="736" spans="1:6">
      <c r="A736" s="49"/>
      <c r="D736" s="49"/>
      <c r="E736" s="49"/>
      <c r="F736" s="49"/>
    </row>
    <row r="737" spans="1:6">
      <c r="A737" s="49"/>
      <c r="D737" s="49"/>
      <c r="E737" s="49"/>
      <c r="F737" s="49"/>
    </row>
    <row r="738" spans="1:6">
      <c r="A738" s="49"/>
      <c r="D738" s="49"/>
      <c r="E738" s="49"/>
      <c r="F738" s="49"/>
    </row>
    <row r="739" spans="1:6">
      <c r="A739" s="49"/>
      <c r="D739" s="49"/>
      <c r="E739" s="49"/>
      <c r="F739" s="49"/>
    </row>
    <row r="740" spans="1:6">
      <c r="A740" s="49"/>
      <c r="D740" s="49"/>
      <c r="E740" s="49"/>
      <c r="F740" s="49"/>
    </row>
    <row r="741" spans="1:6">
      <c r="A741" s="49"/>
      <c r="D741" s="49"/>
      <c r="E741" s="49"/>
      <c r="F741" s="49"/>
    </row>
    <row r="742" spans="1:6">
      <c r="A742" s="49"/>
      <c r="D742" s="49"/>
      <c r="E742" s="49"/>
      <c r="F742" s="49"/>
    </row>
    <row r="743" spans="1:6">
      <c r="A743" s="49"/>
      <c r="D743" s="49"/>
      <c r="E743" s="49"/>
      <c r="F743" s="49"/>
    </row>
    <row r="744" spans="1:6">
      <c r="A744" s="49"/>
      <c r="D744" s="49"/>
      <c r="E744" s="49"/>
      <c r="F744" s="49"/>
    </row>
    <row r="745" spans="1:6">
      <c r="A745" s="49"/>
      <c r="D745" s="49"/>
      <c r="E745" s="49"/>
      <c r="F745" s="49"/>
    </row>
    <row r="746" spans="1:6">
      <c r="A746" s="49"/>
      <c r="D746" s="49"/>
      <c r="E746" s="49"/>
      <c r="F746" s="49"/>
    </row>
    <row r="747" spans="1:6">
      <c r="A747" s="49"/>
      <c r="D747" s="49"/>
      <c r="E747" s="49"/>
      <c r="F747" s="49"/>
    </row>
    <row r="748" spans="1:6">
      <c r="A748" s="49"/>
      <c r="D748" s="49"/>
      <c r="E748" s="49"/>
      <c r="F748" s="49"/>
    </row>
    <row r="749" spans="1:6">
      <c r="A749" s="49"/>
      <c r="D749" s="49"/>
      <c r="E749" s="49"/>
      <c r="F749" s="49"/>
    </row>
    <row r="750" spans="1:6">
      <c r="A750" s="49"/>
      <c r="D750" s="49"/>
      <c r="E750" s="49"/>
      <c r="F750" s="49"/>
    </row>
    <row r="751" spans="1:6">
      <c r="A751" s="49"/>
      <c r="D751" s="49"/>
      <c r="E751" s="49"/>
      <c r="F751" s="49"/>
    </row>
    <row r="752" spans="1:6">
      <c r="A752" s="49"/>
      <c r="D752" s="49"/>
      <c r="E752" s="49"/>
      <c r="F752" s="49"/>
    </row>
    <row r="753" spans="1:6">
      <c r="A753" s="49"/>
      <c r="D753" s="49"/>
      <c r="E753" s="49"/>
      <c r="F753" s="49"/>
    </row>
    <row r="754" spans="1:6">
      <c r="A754" s="49"/>
      <c r="D754" s="49"/>
      <c r="E754" s="49"/>
      <c r="F754" s="49"/>
    </row>
    <row r="755" spans="1:6">
      <c r="A755" s="49"/>
      <c r="D755" s="49"/>
      <c r="E755" s="49"/>
      <c r="F755" s="49"/>
    </row>
    <row r="756" spans="1:6">
      <c r="A756" s="49"/>
      <c r="D756" s="49"/>
      <c r="E756" s="49"/>
      <c r="F756" s="49"/>
    </row>
    <row r="757" spans="1:6">
      <c r="A757" s="49"/>
      <c r="D757" s="49"/>
      <c r="E757" s="49"/>
      <c r="F757" s="49"/>
    </row>
    <row r="758" spans="1:6">
      <c r="A758" s="49"/>
      <c r="D758" s="49"/>
      <c r="E758" s="49"/>
      <c r="F758" s="49"/>
    </row>
    <row r="759" spans="1:6">
      <c r="A759" s="49"/>
      <c r="D759" s="49"/>
      <c r="E759" s="49"/>
      <c r="F759" s="49"/>
    </row>
    <row r="760" spans="1:6">
      <c r="A760" s="49"/>
      <c r="D760" s="49"/>
      <c r="E760" s="49"/>
      <c r="F760" s="49"/>
    </row>
    <row r="761" spans="1:6">
      <c r="A761" s="49"/>
      <c r="D761" s="49"/>
      <c r="E761" s="49"/>
      <c r="F761" s="49"/>
    </row>
    <row r="762" spans="1:6">
      <c r="A762" s="49"/>
      <c r="D762" s="49"/>
      <c r="E762" s="49"/>
      <c r="F762" s="49"/>
    </row>
    <row r="763" spans="1:6">
      <c r="A763" s="49"/>
      <c r="D763" s="49"/>
      <c r="E763" s="49"/>
      <c r="F763" s="49"/>
    </row>
    <row r="764" spans="1:6">
      <c r="A764" s="49"/>
      <c r="D764" s="49"/>
      <c r="E764" s="49"/>
      <c r="F764" s="49"/>
    </row>
    <row r="765" spans="1:6">
      <c r="A765" s="49"/>
      <c r="D765" s="49"/>
      <c r="E765" s="49"/>
      <c r="F765" s="49"/>
    </row>
    <row r="766" spans="1:6">
      <c r="A766" s="49"/>
      <c r="D766" s="49"/>
      <c r="E766" s="49"/>
      <c r="F766" s="49"/>
    </row>
    <row r="767" spans="1:6">
      <c r="A767" s="49"/>
      <c r="D767" s="49"/>
      <c r="E767" s="49"/>
      <c r="F767" s="49"/>
    </row>
    <row r="768" spans="1:6">
      <c r="A768" s="49"/>
      <c r="D768" s="49"/>
      <c r="E768" s="49"/>
      <c r="F768" s="49"/>
    </row>
    <row r="769" spans="1:6">
      <c r="A769" s="49"/>
      <c r="D769" s="49"/>
      <c r="E769" s="49"/>
      <c r="F769" s="49"/>
    </row>
    <row r="770" spans="1:6">
      <c r="A770" s="49"/>
      <c r="D770" s="49"/>
      <c r="E770" s="49"/>
      <c r="F770" s="49"/>
    </row>
    <row r="771" spans="1:6">
      <c r="A771" s="49"/>
      <c r="D771" s="49"/>
      <c r="E771" s="49"/>
      <c r="F771" s="49"/>
    </row>
    <row r="772" spans="1:6">
      <c r="A772" s="49"/>
      <c r="D772" s="49"/>
      <c r="E772" s="49"/>
      <c r="F772" s="49"/>
    </row>
    <row r="773" spans="1:6">
      <c r="A773" s="49"/>
      <c r="D773" s="49"/>
      <c r="E773" s="49"/>
      <c r="F773" s="49"/>
    </row>
    <row r="774" spans="1:6">
      <c r="A774" s="49"/>
      <c r="D774" s="49"/>
      <c r="E774" s="49"/>
      <c r="F774" s="49"/>
    </row>
    <row r="775" spans="1:6">
      <c r="A775" s="49"/>
      <c r="D775" s="49"/>
      <c r="E775" s="49"/>
      <c r="F775" s="49"/>
    </row>
    <row r="776" spans="1:6">
      <c r="A776" s="49"/>
      <c r="D776" s="49"/>
      <c r="E776" s="49"/>
      <c r="F776" s="49"/>
    </row>
    <row r="777" spans="1:6">
      <c r="A777" s="49"/>
      <c r="D777" s="49"/>
      <c r="E777" s="49"/>
      <c r="F777" s="49"/>
    </row>
    <row r="778" spans="1:6">
      <c r="A778" s="49"/>
      <c r="D778" s="49"/>
      <c r="E778" s="49"/>
      <c r="F778" s="49"/>
    </row>
    <row r="779" spans="1:6">
      <c r="A779" s="49"/>
      <c r="D779" s="49"/>
      <c r="E779" s="49"/>
      <c r="F779" s="49"/>
    </row>
    <row r="780" spans="1:6">
      <c r="A780" s="49"/>
      <c r="D780" s="49"/>
      <c r="E780" s="49"/>
      <c r="F780" s="49"/>
    </row>
    <row r="781" spans="1:6">
      <c r="A781" s="49"/>
      <c r="D781" s="49"/>
      <c r="E781" s="49"/>
      <c r="F781" s="49"/>
    </row>
    <row r="782" spans="1:6">
      <c r="A782" s="49"/>
      <c r="D782" s="49"/>
      <c r="E782" s="49"/>
      <c r="F782" s="49"/>
    </row>
    <row r="783" spans="1:6">
      <c r="A783" s="49"/>
      <c r="D783" s="49"/>
      <c r="E783" s="49"/>
      <c r="F783" s="49"/>
    </row>
    <row r="784" spans="1:6">
      <c r="A784" s="49"/>
      <c r="D784" s="49"/>
      <c r="E784" s="49"/>
      <c r="F784" s="49"/>
    </row>
    <row r="785" spans="1:6">
      <c r="A785" s="49"/>
      <c r="D785" s="49"/>
      <c r="E785" s="49"/>
      <c r="F785" s="49"/>
    </row>
    <row r="786" spans="1:6">
      <c r="A786" s="49"/>
      <c r="D786" s="49"/>
      <c r="E786" s="49"/>
      <c r="F786" s="49"/>
    </row>
    <row r="787" spans="1:6">
      <c r="A787" s="49"/>
      <c r="D787" s="49"/>
      <c r="E787" s="49"/>
      <c r="F787" s="49"/>
    </row>
    <row r="788" spans="1:6">
      <c r="A788" s="49"/>
      <c r="D788" s="49"/>
      <c r="E788" s="49"/>
      <c r="F788" s="49"/>
    </row>
    <row r="789" spans="1:6">
      <c r="A789" s="49"/>
      <c r="D789" s="49"/>
      <c r="E789" s="49"/>
      <c r="F789" s="49"/>
    </row>
    <row r="790" spans="1:6">
      <c r="A790" s="49"/>
      <c r="D790" s="49"/>
      <c r="E790" s="49"/>
      <c r="F790" s="49"/>
    </row>
    <row r="791" spans="1:6">
      <c r="A791" s="49"/>
      <c r="D791" s="49"/>
      <c r="E791" s="49"/>
      <c r="F791" s="49"/>
    </row>
    <row r="792" spans="1:6">
      <c r="A792" s="49"/>
      <c r="D792" s="49"/>
      <c r="E792" s="49"/>
      <c r="F792" s="49"/>
    </row>
    <row r="793" spans="1:6">
      <c r="A793" s="49"/>
      <c r="D793" s="49"/>
      <c r="E793" s="49"/>
      <c r="F793" s="49"/>
    </row>
    <row r="794" spans="1:6">
      <c r="A794" s="49"/>
      <c r="D794" s="49"/>
      <c r="E794" s="49"/>
      <c r="F794" s="49"/>
    </row>
    <row r="795" spans="1:6">
      <c r="A795" s="49"/>
      <c r="D795" s="49"/>
      <c r="E795" s="49"/>
      <c r="F795" s="49"/>
    </row>
    <row r="796" spans="1:6">
      <c r="A796" s="49"/>
      <c r="D796" s="49"/>
      <c r="E796" s="49"/>
      <c r="F796" s="49"/>
    </row>
    <row r="797" spans="1:6">
      <c r="A797" s="49"/>
      <c r="D797" s="49"/>
      <c r="E797" s="49"/>
      <c r="F797" s="49"/>
    </row>
    <row r="798" spans="1:6">
      <c r="A798" s="49"/>
      <c r="D798" s="49"/>
      <c r="E798" s="49"/>
      <c r="F798" s="49"/>
    </row>
    <row r="799" spans="1:6">
      <c r="A799" s="49"/>
      <c r="D799" s="49"/>
      <c r="E799" s="49"/>
      <c r="F799" s="49"/>
    </row>
    <row r="800" spans="1:6">
      <c r="A800" s="49"/>
      <c r="D800" s="49"/>
      <c r="E800" s="49"/>
      <c r="F800" s="49"/>
    </row>
    <row r="801" spans="1:6">
      <c r="A801" s="49"/>
      <c r="D801" s="49"/>
      <c r="E801" s="49"/>
      <c r="F801" s="49"/>
    </row>
    <row r="802" spans="1:6">
      <c r="A802" s="49"/>
      <c r="D802" s="49"/>
      <c r="E802" s="49"/>
      <c r="F802" s="49"/>
    </row>
    <row r="803" spans="1:6">
      <c r="A803" s="49"/>
      <c r="D803" s="49"/>
      <c r="E803" s="49"/>
      <c r="F803" s="49"/>
    </row>
    <row r="804" spans="1:6">
      <c r="A804" s="49"/>
      <c r="D804" s="49"/>
      <c r="E804" s="49"/>
      <c r="F804" s="49"/>
    </row>
    <row r="805" spans="1:6">
      <c r="A805" s="49"/>
      <c r="D805" s="49"/>
      <c r="E805" s="49"/>
      <c r="F805" s="49"/>
    </row>
    <row r="806" spans="1:6">
      <c r="A806" s="49"/>
      <c r="D806" s="49"/>
      <c r="E806" s="49"/>
      <c r="F806" s="49"/>
    </row>
    <row r="807" spans="1:6">
      <c r="A807" s="49"/>
      <c r="D807" s="49"/>
      <c r="E807" s="49"/>
      <c r="F807" s="49"/>
    </row>
    <row r="808" spans="1:6">
      <c r="A808" s="49"/>
      <c r="D808" s="49"/>
      <c r="E808" s="49"/>
      <c r="F808" s="49"/>
    </row>
    <row r="809" spans="1:6">
      <c r="A809" s="49"/>
      <c r="D809" s="49"/>
      <c r="E809" s="49"/>
      <c r="F809" s="49"/>
    </row>
    <row r="810" spans="1:6">
      <c r="A810" s="49"/>
      <c r="D810" s="49"/>
      <c r="E810" s="49"/>
      <c r="F810" s="49"/>
    </row>
    <row r="811" spans="1:6">
      <c r="A811" s="49"/>
      <c r="D811" s="49"/>
      <c r="E811" s="49"/>
      <c r="F811" s="49"/>
    </row>
    <row r="812" spans="1:6">
      <c r="A812" s="49"/>
      <c r="D812" s="49"/>
      <c r="E812" s="49"/>
      <c r="F812" s="49"/>
    </row>
    <row r="813" spans="1:6">
      <c r="A813" s="49"/>
      <c r="D813" s="49"/>
      <c r="E813" s="49"/>
      <c r="F813" s="49"/>
    </row>
    <row r="814" spans="1:6">
      <c r="A814" s="49"/>
      <c r="D814" s="49"/>
      <c r="E814" s="49"/>
      <c r="F814" s="49"/>
    </row>
    <row r="815" spans="1:6">
      <c r="A815" s="49"/>
      <c r="D815" s="49"/>
      <c r="E815" s="49"/>
      <c r="F815" s="49"/>
    </row>
    <row r="816" spans="1:6">
      <c r="A816" s="49"/>
      <c r="D816" s="49"/>
      <c r="E816" s="49"/>
      <c r="F816" s="49"/>
    </row>
    <row r="817" spans="1:6">
      <c r="A817" s="49"/>
      <c r="D817" s="49"/>
      <c r="E817" s="49"/>
      <c r="F817" s="49"/>
    </row>
    <row r="818" spans="1:6">
      <c r="A818" s="49"/>
      <c r="D818" s="49"/>
      <c r="E818" s="49"/>
      <c r="F818" s="49"/>
    </row>
    <row r="819" spans="1:6">
      <c r="A819" s="49"/>
      <c r="D819" s="49"/>
      <c r="E819" s="49"/>
      <c r="F819" s="49"/>
    </row>
    <row r="820" spans="1:6">
      <c r="A820" s="49"/>
      <c r="D820" s="49"/>
      <c r="E820" s="49"/>
      <c r="F820" s="49"/>
    </row>
    <row r="821" spans="1:6">
      <c r="A821" s="49"/>
      <c r="D821" s="49"/>
      <c r="E821" s="49"/>
      <c r="F821" s="49"/>
    </row>
    <row r="822" spans="1:6">
      <c r="A822" s="49"/>
      <c r="D822" s="49"/>
      <c r="E822" s="49"/>
      <c r="F822" s="49"/>
    </row>
    <row r="823" spans="1:6">
      <c r="A823" s="49"/>
      <c r="D823" s="49"/>
      <c r="E823" s="49"/>
      <c r="F823" s="49"/>
    </row>
    <row r="824" spans="1:6">
      <c r="A824" s="49"/>
      <c r="D824" s="49"/>
      <c r="E824" s="49"/>
      <c r="F824" s="49"/>
    </row>
    <row r="825" spans="1:6">
      <c r="A825" s="49"/>
      <c r="D825" s="49"/>
      <c r="E825" s="49"/>
      <c r="F825" s="49"/>
    </row>
    <row r="826" spans="1:6">
      <c r="A826" s="49"/>
      <c r="D826" s="49"/>
      <c r="E826" s="49"/>
      <c r="F826" s="49"/>
    </row>
    <row r="827" spans="1:6">
      <c r="A827" s="49"/>
      <c r="D827" s="49"/>
      <c r="E827" s="49"/>
      <c r="F827" s="49"/>
    </row>
    <row r="828" spans="1:6">
      <c r="A828" s="49"/>
      <c r="D828" s="49"/>
      <c r="E828" s="49"/>
      <c r="F828" s="49"/>
    </row>
    <row r="829" spans="1:6">
      <c r="A829" s="49"/>
      <c r="D829" s="49"/>
      <c r="E829" s="49"/>
      <c r="F829" s="49"/>
    </row>
    <row r="830" spans="1:6">
      <c r="A830" s="49"/>
      <c r="D830" s="49"/>
      <c r="E830" s="49"/>
      <c r="F830" s="49"/>
    </row>
    <row r="831" spans="1:6">
      <c r="A831" s="49"/>
      <c r="D831" s="49"/>
      <c r="E831" s="49"/>
      <c r="F831" s="49"/>
    </row>
    <row r="832" spans="1:6">
      <c r="A832" s="49"/>
      <c r="D832" s="49"/>
      <c r="E832" s="49"/>
      <c r="F832" s="49"/>
    </row>
    <row r="833" spans="1:6">
      <c r="A833" s="49"/>
      <c r="D833" s="49"/>
      <c r="E833" s="49"/>
      <c r="F833" s="49"/>
    </row>
    <row r="834" spans="1:6">
      <c r="A834" s="49"/>
      <c r="D834" s="49"/>
      <c r="E834" s="49"/>
      <c r="F834" s="49"/>
    </row>
    <row r="835" spans="1:6">
      <c r="A835" s="49"/>
      <c r="D835" s="49"/>
      <c r="E835" s="49"/>
      <c r="F835" s="49"/>
    </row>
    <row r="836" spans="1:6">
      <c r="A836" s="49"/>
      <c r="D836" s="49"/>
      <c r="E836" s="49"/>
      <c r="F836" s="49"/>
    </row>
    <row r="837" spans="1:6">
      <c r="A837" s="49"/>
      <c r="D837" s="49"/>
      <c r="E837" s="49"/>
      <c r="F837" s="49"/>
    </row>
    <row r="838" spans="1:6">
      <c r="A838" s="49"/>
      <c r="D838" s="49"/>
      <c r="E838" s="49"/>
      <c r="F838" s="49"/>
    </row>
    <row r="839" spans="1:6">
      <c r="A839" s="49"/>
      <c r="D839" s="49"/>
      <c r="E839" s="49"/>
      <c r="F839" s="49"/>
    </row>
    <row r="840" spans="1:6">
      <c r="A840" s="49"/>
      <c r="D840" s="49"/>
      <c r="E840" s="49"/>
      <c r="F840" s="49"/>
    </row>
    <row r="841" spans="1:6">
      <c r="A841" s="49"/>
      <c r="D841" s="49"/>
      <c r="E841" s="49"/>
      <c r="F841" s="49"/>
    </row>
    <row r="842" spans="1:6">
      <c r="A842" s="49"/>
      <c r="D842" s="49"/>
      <c r="E842" s="49"/>
      <c r="F842" s="49"/>
    </row>
    <row r="843" spans="1:6">
      <c r="A843" s="49"/>
      <c r="D843" s="49"/>
      <c r="E843" s="49"/>
      <c r="F843" s="49"/>
    </row>
    <row r="844" spans="1:6">
      <c r="A844" s="49"/>
      <c r="D844" s="49"/>
      <c r="E844" s="49"/>
      <c r="F844" s="49"/>
    </row>
    <row r="845" spans="1:6">
      <c r="A845" s="49"/>
      <c r="D845" s="49"/>
      <c r="E845" s="49"/>
      <c r="F845" s="49"/>
    </row>
    <row r="846" spans="1:6">
      <c r="A846" s="49"/>
      <c r="D846" s="49"/>
      <c r="E846" s="49"/>
      <c r="F846" s="49"/>
    </row>
    <row r="847" spans="1:6">
      <c r="A847" s="49"/>
      <c r="D847" s="49"/>
      <c r="E847" s="49"/>
      <c r="F847" s="49"/>
    </row>
    <row r="848" spans="1:6">
      <c r="A848" s="49"/>
      <c r="D848" s="49"/>
      <c r="E848" s="49"/>
      <c r="F848" s="49"/>
    </row>
    <row r="849" spans="1:6">
      <c r="A849" s="49"/>
      <c r="D849" s="49"/>
      <c r="E849" s="49"/>
      <c r="F849" s="49"/>
    </row>
    <row r="850" spans="1:6">
      <c r="A850" s="49"/>
      <c r="D850" s="49"/>
      <c r="E850" s="49"/>
      <c r="F850" s="49"/>
    </row>
    <row r="851" spans="1:6">
      <c r="A851" s="49"/>
      <c r="D851" s="49"/>
      <c r="E851" s="49"/>
      <c r="F851" s="49"/>
    </row>
    <row r="852" spans="1:6">
      <c r="A852" s="49"/>
      <c r="D852" s="49"/>
      <c r="E852" s="49"/>
      <c r="F852" s="49"/>
    </row>
    <row r="853" spans="1:6">
      <c r="A853" s="49"/>
      <c r="D853" s="49"/>
      <c r="E853" s="49"/>
      <c r="F853" s="49"/>
    </row>
    <row r="854" spans="1:6">
      <c r="A854" s="49"/>
      <c r="D854" s="49"/>
      <c r="E854" s="49"/>
      <c r="F854" s="49"/>
    </row>
    <row r="855" spans="1:6">
      <c r="A855" s="49"/>
      <c r="D855" s="49"/>
      <c r="E855" s="49"/>
      <c r="F855" s="49"/>
    </row>
    <row r="856" spans="1:6">
      <c r="A856" s="49"/>
      <c r="D856" s="49"/>
      <c r="E856" s="49"/>
      <c r="F856" s="49"/>
    </row>
    <row r="857" spans="1:6">
      <c r="A857" s="49"/>
      <c r="D857" s="49"/>
      <c r="E857" s="49"/>
      <c r="F857" s="49"/>
    </row>
    <row r="858" spans="1:6">
      <c r="A858" s="49"/>
      <c r="D858" s="49"/>
      <c r="E858" s="49"/>
      <c r="F858" s="49"/>
    </row>
    <row r="859" spans="1:6">
      <c r="A859" s="49"/>
      <c r="D859" s="49"/>
      <c r="E859" s="49"/>
      <c r="F859" s="49"/>
    </row>
    <row r="860" spans="1:6">
      <c r="A860" s="49"/>
      <c r="D860" s="49"/>
      <c r="E860" s="49"/>
      <c r="F860" s="49"/>
    </row>
    <row r="861" spans="1:6">
      <c r="A861" s="49"/>
      <c r="D861" s="49"/>
      <c r="E861" s="49"/>
      <c r="F861" s="49"/>
    </row>
    <row r="862" spans="1:6">
      <c r="A862" s="49"/>
      <c r="D862" s="49"/>
      <c r="E862" s="49"/>
      <c r="F862" s="49"/>
    </row>
    <row r="863" spans="1:6">
      <c r="A863" s="49"/>
      <c r="D863" s="49"/>
      <c r="E863" s="49"/>
      <c r="F863" s="49"/>
    </row>
    <row r="864" spans="1:6">
      <c r="A864" s="49"/>
      <c r="D864" s="49"/>
      <c r="E864" s="49"/>
      <c r="F864" s="49"/>
    </row>
    <row r="865" spans="1:6">
      <c r="A865" s="49"/>
      <c r="D865" s="49"/>
      <c r="E865" s="49"/>
      <c r="F865" s="49"/>
    </row>
    <row r="866" spans="1:6">
      <c r="A866" s="49"/>
      <c r="D866" s="49"/>
      <c r="E866" s="49"/>
      <c r="F866" s="49"/>
    </row>
    <row r="867" spans="1:6">
      <c r="A867" s="49"/>
      <c r="D867" s="49"/>
      <c r="E867" s="49"/>
      <c r="F867" s="49"/>
    </row>
    <row r="868" spans="1:6">
      <c r="A868" s="49"/>
      <c r="D868" s="49"/>
      <c r="E868" s="49"/>
      <c r="F868" s="49"/>
    </row>
    <row r="869" spans="1:6">
      <c r="A869" s="49"/>
      <c r="D869" s="49"/>
      <c r="E869" s="49"/>
      <c r="F869" s="49"/>
    </row>
    <row r="870" spans="1:6">
      <c r="A870" s="49"/>
      <c r="D870" s="49"/>
      <c r="E870" s="49"/>
      <c r="F870" s="49"/>
    </row>
    <row r="871" spans="1:6">
      <c r="A871" s="49"/>
      <c r="D871" s="49"/>
      <c r="E871" s="49"/>
      <c r="F871" s="49"/>
    </row>
    <row r="872" spans="1:6">
      <c r="A872" s="49"/>
      <c r="D872" s="49"/>
      <c r="E872" s="49"/>
      <c r="F872" s="49"/>
    </row>
    <row r="873" spans="1:6">
      <c r="A873" s="49"/>
      <c r="D873" s="49"/>
      <c r="E873" s="49"/>
      <c r="F873" s="49"/>
    </row>
    <row r="874" spans="1:6">
      <c r="A874" s="49"/>
      <c r="D874" s="49"/>
      <c r="E874" s="49"/>
      <c r="F874" s="49"/>
    </row>
    <row r="875" spans="1:6">
      <c r="A875" s="49"/>
      <c r="D875" s="49"/>
      <c r="E875" s="49"/>
      <c r="F875" s="49"/>
    </row>
    <row r="876" spans="1:6">
      <c r="A876" s="49"/>
      <c r="D876" s="49"/>
      <c r="E876" s="49"/>
      <c r="F876" s="49"/>
    </row>
    <row r="877" spans="1:6">
      <c r="A877" s="49"/>
      <c r="D877" s="49"/>
      <c r="E877" s="49"/>
      <c r="F877" s="49"/>
    </row>
    <row r="878" spans="1:6">
      <c r="A878" s="49"/>
      <c r="D878" s="49"/>
      <c r="E878" s="49"/>
      <c r="F878" s="49"/>
    </row>
    <row r="879" spans="1:6">
      <c r="A879" s="49"/>
      <c r="D879" s="49"/>
      <c r="E879" s="49"/>
      <c r="F879" s="49"/>
    </row>
    <row r="880" spans="1:6">
      <c r="A880" s="49"/>
      <c r="D880" s="49"/>
      <c r="E880" s="49"/>
      <c r="F880" s="49"/>
    </row>
    <row r="881" spans="1:6">
      <c r="A881" s="49"/>
      <c r="D881" s="49"/>
      <c r="E881" s="49"/>
      <c r="F881" s="49"/>
    </row>
    <row r="882" spans="1:6">
      <c r="A882" s="49"/>
      <c r="D882" s="49"/>
      <c r="E882" s="49"/>
      <c r="F882" s="49"/>
    </row>
    <row r="883" spans="1:6">
      <c r="A883" s="49"/>
      <c r="D883" s="49"/>
      <c r="E883" s="49"/>
      <c r="F883" s="49"/>
    </row>
    <row r="884" spans="1:6">
      <c r="A884" s="49"/>
      <c r="D884" s="49"/>
      <c r="E884" s="49"/>
      <c r="F884" s="49"/>
    </row>
    <row r="885" spans="1:6">
      <c r="A885" s="49"/>
      <c r="D885" s="49"/>
      <c r="E885" s="49"/>
      <c r="F885" s="49"/>
    </row>
    <row r="886" spans="1:6">
      <c r="A886" s="49"/>
      <c r="D886" s="49"/>
      <c r="E886" s="49"/>
      <c r="F886" s="49"/>
    </row>
    <row r="887" spans="1:6">
      <c r="A887" s="49"/>
      <c r="D887" s="49"/>
      <c r="E887" s="49"/>
      <c r="F887" s="49"/>
    </row>
    <row r="888" spans="1:6">
      <c r="A888" s="49"/>
      <c r="D888" s="49"/>
      <c r="E888" s="49"/>
      <c r="F888" s="49"/>
    </row>
    <row r="889" spans="1:6">
      <c r="A889" s="49"/>
      <c r="D889" s="49"/>
      <c r="E889" s="49"/>
      <c r="F889" s="49"/>
    </row>
    <row r="890" spans="1:6">
      <c r="A890" s="49"/>
      <c r="D890" s="49"/>
      <c r="E890" s="49"/>
      <c r="F890" s="49"/>
    </row>
    <row r="891" spans="1:6">
      <c r="A891" s="49"/>
      <c r="D891" s="49"/>
      <c r="E891" s="49"/>
      <c r="F891" s="49"/>
    </row>
    <row r="892" spans="1:6">
      <c r="A892" s="49"/>
      <c r="D892" s="49"/>
      <c r="E892" s="49"/>
      <c r="F892" s="49"/>
    </row>
    <row r="893" spans="1:6">
      <c r="A893" s="49"/>
      <c r="D893" s="49"/>
      <c r="E893" s="49"/>
      <c r="F893" s="49"/>
    </row>
    <row r="894" spans="1:6">
      <c r="A894" s="49"/>
      <c r="D894" s="49"/>
      <c r="E894" s="49"/>
      <c r="F894" s="49"/>
    </row>
    <row r="895" spans="1:6">
      <c r="A895" s="49"/>
      <c r="D895" s="49"/>
      <c r="E895" s="49"/>
      <c r="F895" s="49"/>
    </row>
    <row r="896" spans="1:6">
      <c r="A896" s="49"/>
      <c r="D896" s="49"/>
      <c r="E896" s="49"/>
      <c r="F896" s="49"/>
    </row>
    <row r="897" spans="1:6">
      <c r="A897" s="49"/>
      <c r="D897" s="49"/>
      <c r="E897" s="49"/>
      <c r="F897" s="49"/>
    </row>
    <row r="898" spans="1:6">
      <c r="A898" s="49"/>
      <c r="D898" s="49"/>
      <c r="E898" s="49"/>
      <c r="F898" s="49"/>
    </row>
    <row r="899" spans="1:6">
      <c r="A899" s="49"/>
      <c r="D899" s="49"/>
      <c r="E899" s="49"/>
      <c r="F899" s="49"/>
    </row>
    <row r="900" spans="1:6">
      <c r="A900" s="49"/>
      <c r="D900" s="49"/>
      <c r="E900" s="49"/>
      <c r="F900" s="49"/>
    </row>
    <row r="901" spans="1:6">
      <c r="A901" s="49"/>
      <c r="D901" s="49"/>
      <c r="E901" s="49"/>
      <c r="F901" s="49"/>
    </row>
    <row r="902" spans="1:6">
      <c r="A902" s="49"/>
      <c r="D902" s="49"/>
      <c r="E902" s="49"/>
      <c r="F902" s="49"/>
    </row>
    <row r="903" spans="1:6">
      <c r="A903" s="49"/>
      <c r="D903" s="49"/>
      <c r="E903" s="49"/>
      <c r="F903" s="49"/>
    </row>
    <row r="904" spans="1:6">
      <c r="A904" s="49"/>
      <c r="D904" s="49"/>
      <c r="E904" s="49"/>
      <c r="F904" s="49"/>
    </row>
    <row r="905" spans="1:6">
      <c r="A905" s="49"/>
      <c r="D905" s="49"/>
      <c r="E905" s="49"/>
      <c r="F905" s="49"/>
    </row>
    <row r="906" spans="1:6">
      <c r="A906" s="49"/>
      <c r="D906" s="49"/>
      <c r="E906" s="49"/>
      <c r="F906" s="49"/>
    </row>
    <row r="907" spans="1:6">
      <c r="A907" s="49"/>
      <c r="D907" s="49"/>
      <c r="E907" s="49"/>
      <c r="F907" s="49"/>
    </row>
    <row r="908" spans="1:6">
      <c r="A908" s="49"/>
      <c r="D908" s="49"/>
      <c r="E908" s="49"/>
      <c r="F908" s="49"/>
    </row>
    <row r="909" spans="1:6">
      <c r="A909" s="49"/>
      <c r="D909" s="49"/>
      <c r="E909" s="49"/>
      <c r="F909" s="49"/>
    </row>
    <row r="910" spans="1:6">
      <c r="A910" s="49"/>
      <c r="D910" s="49"/>
      <c r="E910" s="49"/>
      <c r="F910" s="49"/>
    </row>
    <row r="911" spans="1:6">
      <c r="A911" s="49"/>
      <c r="D911" s="49"/>
      <c r="E911" s="49"/>
      <c r="F911" s="49"/>
    </row>
    <row r="912" spans="1:6">
      <c r="A912" s="49"/>
      <c r="D912" s="49"/>
      <c r="E912" s="49"/>
      <c r="F912" s="49"/>
    </row>
    <row r="913" spans="1:6">
      <c r="A913" s="49"/>
      <c r="D913" s="49"/>
      <c r="E913" s="49"/>
      <c r="F913" s="49"/>
    </row>
    <row r="914" spans="1:6">
      <c r="A914" s="49"/>
      <c r="D914" s="49"/>
      <c r="E914" s="49"/>
      <c r="F914" s="49"/>
    </row>
    <row r="915" spans="1:6">
      <c r="A915" s="49"/>
      <c r="D915" s="49"/>
      <c r="E915" s="49"/>
      <c r="F915" s="49"/>
    </row>
    <row r="916" spans="1:6">
      <c r="A916" s="49"/>
      <c r="D916" s="49"/>
      <c r="E916" s="49"/>
      <c r="F916" s="49"/>
    </row>
    <row r="917" spans="1:6">
      <c r="A917" s="49"/>
      <c r="D917" s="49"/>
      <c r="E917" s="49"/>
      <c r="F917" s="49"/>
    </row>
    <row r="918" spans="1:6">
      <c r="A918" s="49"/>
      <c r="D918" s="49"/>
      <c r="E918" s="49"/>
      <c r="F918" s="49"/>
    </row>
    <row r="919" spans="1:6">
      <c r="A919" s="49"/>
      <c r="D919" s="49"/>
      <c r="E919" s="49"/>
      <c r="F919" s="49"/>
    </row>
    <row r="920" spans="1:6">
      <c r="A920" s="49"/>
      <c r="D920" s="49"/>
      <c r="E920" s="49"/>
      <c r="F920" s="49"/>
    </row>
    <row r="921" spans="1:6">
      <c r="A921" s="49"/>
      <c r="D921" s="49"/>
      <c r="E921" s="49"/>
      <c r="F921" s="49"/>
    </row>
    <row r="922" spans="1:6">
      <c r="A922" s="49"/>
      <c r="D922" s="49"/>
      <c r="E922" s="49"/>
      <c r="F922" s="49"/>
    </row>
    <row r="923" spans="1:6">
      <c r="A923" s="49"/>
      <c r="D923" s="49"/>
      <c r="E923" s="49"/>
      <c r="F923" s="49"/>
    </row>
    <row r="924" spans="1:6">
      <c r="A924" s="49"/>
      <c r="D924" s="49"/>
      <c r="E924" s="49"/>
      <c r="F924" s="49"/>
    </row>
    <row r="925" spans="1:6">
      <c r="A925" s="49"/>
      <c r="D925" s="49"/>
      <c r="E925" s="49"/>
      <c r="F925" s="49"/>
    </row>
    <row r="926" spans="1:6">
      <c r="A926" s="49"/>
      <c r="D926" s="49"/>
      <c r="E926" s="49"/>
      <c r="F926" s="49"/>
    </row>
    <row r="927" spans="1:6">
      <c r="A927" s="49"/>
      <c r="D927" s="49"/>
      <c r="E927" s="49"/>
      <c r="F927" s="49"/>
    </row>
    <row r="928" spans="1:6">
      <c r="A928" s="49"/>
      <c r="D928" s="49"/>
      <c r="E928" s="49"/>
      <c r="F928" s="49"/>
    </row>
    <row r="929" spans="1:6">
      <c r="A929" s="49"/>
      <c r="D929" s="49"/>
      <c r="E929" s="49"/>
      <c r="F929" s="49"/>
    </row>
    <row r="930" spans="1:6">
      <c r="A930" s="49"/>
      <c r="D930" s="49"/>
      <c r="E930" s="49"/>
      <c r="F930" s="49"/>
    </row>
    <row r="931" spans="1:6">
      <c r="A931" s="49"/>
      <c r="D931" s="49"/>
      <c r="E931" s="49"/>
      <c r="F931" s="49"/>
    </row>
    <row r="932" spans="1:6">
      <c r="A932" s="49"/>
      <c r="D932" s="49"/>
      <c r="E932" s="49"/>
      <c r="F932" s="49"/>
    </row>
    <row r="933" spans="1:6">
      <c r="A933" s="49"/>
      <c r="D933" s="49"/>
      <c r="E933" s="49"/>
      <c r="F933" s="49"/>
    </row>
    <row r="934" spans="1:6">
      <c r="A934" s="49"/>
      <c r="D934" s="49"/>
      <c r="E934" s="49"/>
      <c r="F934" s="49"/>
    </row>
    <row r="935" spans="1:6">
      <c r="A935" s="49"/>
      <c r="D935" s="49"/>
      <c r="E935" s="49"/>
      <c r="F935" s="49"/>
    </row>
    <row r="936" spans="1:6">
      <c r="A936" s="49"/>
      <c r="D936" s="49"/>
      <c r="E936" s="49"/>
      <c r="F936" s="49"/>
    </row>
    <row r="937" spans="1:6">
      <c r="A937" s="49"/>
      <c r="D937" s="49"/>
      <c r="E937" s="49"/>
      <c r="F937" s="49"/>
    </row>
    <row r="938" spans="1:6">
      <c r="A938" s="49"/>
      <c r="D938" s="49"/>
      <c r="E938" s="49"/>
      <c r="F938" s="49"/>
    </row>
    <row r="939" spans="1:6">
      <c r="A939" s="49"/>
      <c r="D939" s="49"/>
      <c r="E939" s="49"/>
      <c r="F939" s="49"/>
    </row>
    <row r="940" spans="1:6">
      <c r="A940" s="49"/>
      <c r="D940" s="49"/>
      <c r="E940" s="49"/>
      <c r="F940" s="49"/>
    </row>
    <row r="941" spans="1:6">
      <c r="A941" s="49"/>
      <c r="D941" s="49"/>
      <c r="E941" s="49"/>
      <c r="F941" s="49"/>
    </row>
    <row r="942" spans="1:6">
      <c r="A942" s="49"/>
      <c r="D942" s="49"/>
      <c r="E942" s="49"/>
      <c r="F942" s="49"/>
    </row>
    <row r="943" spans="1:6">
      <c r="A943" s="49"/>
      <c r="D943" s="49"/>
      <c r="E943" s="49"/>
      <c r="F943" s="49"/>
    </row>
    <row r="944" spans="1:6">
      <c r="A944" s="49"/>
      <c r="D944" s="49"/>
      <c r="E944" s="49"/>
      <c r="F944" s="49"/>
    </row>
    <row r="945" spans="1:6">
      <c r="A945" s="49"/>
      <c r="D945" s="49"/>
      <c r="E945" s="49"/>
      <c r="F945" s="49"/>
    </row>
    <row r="946" spans="1:6">
      <c r="A946" s="49"/>
      <c r="D946" s="49"/>
      <c r="E946" s="49"/>
      <c r="F946" s="49"/>
    </row>
    <row r="947" spans="1:6">
      <c r="A947" s="49"/>
      <c r="D947" s="49"/>
      <c r="E947" s="49"/>
      <c r="F947" s="49"/>
    </row>
    <row r="948" spans="1:6">
      <c r="A948" s="49"/>
      <c r="D948" s="49"/>
      <c r="E948" s="49"/>
      <c r="F948" s="49"/>
    </row>
    <row r="949" spans="1:6">
      <c r="A949" s="49"/>
      <c r="D949" s="49"/>
      <c r="E949" s="49"/>
      <c r="F949" s="49"/>
    </row>
    <row r="950" spans="1:6">
      <c r="A950" s="49"/>
      <c r="D950" s="49"/>
      <c r="E950" s="49"/>
      <c r="F950" s="49"/>
    </row>
    <row r="951" spans="1:6">
      <c r="A951" s="49"/>
      <c r="D951" s="49"/>
      <c r="E951" s="49"/>
      <c r="F951" s="49"/>
    </row>
    <row r="952" spans="1:6">
      <c r="A952" s="49"/>
      <c r="D952" s="49"/>
      <c r="E952" s="49"/>
      <c r="F952" s="49"/>
    </row>
    <row r="953" spans="1:6">
      <c r="A953" s="49"/>
      <c r="D953" s="49"/>
      <c r="E953" s="49"/>
      <c r="F953" s="49"/>
    </row>
    <row r="954" spans="1:6">
      <c r="A954" s="49"/>
      <c r="D954" s="49"/>
      <c r="E954" s="49"/>
      <c r="F954" s="49"/>
    </row>
    <row r="955" spans="1:6">
      <c r="A955" s="49"/>
      <c r="D955" s="49"/>
      <c r="E955" s="49"/>
      <c r="F955" s="49"/>
    </row>
    <row r="956" spans="1:6">
      <c r="A956" s="49"/>
      <c r="D956" s="49"/>
      <c r="E956" s="49"/>
      <c r="F956" s="49"/>
    </row>
    <row r="957" spans="1:6">
      <c r="A957" s="49"/>
      <c r="D957" s="49"/>
      <c r="E957" s="49"/>
      <c r="F957" s="49"/>
    </row>
    <row r="958" spans="1:6">
      <c r="A958" s="49"/>
      <c r="D958" s="49"/>
      <c r="E958" s="49"/>
      <c r="F958" s="49"/>
    </row>
    <row r="959" spans="1:6">
      <c r="A959" s="49"/>
      <c r="D959" s="49"/>
      <c r="E959" s="49"/>
      <c r="F959" s="49"/>
    </row>
    <row r="960" spans="1:6">
      <c r="A960" s="49"/>
      <c r="D960" s="49"/>
      <c r="E960" s="49"/>
      <c r="F960" s="49"/>
    </row>
    <row r="961" spans="1:6">
      <c r="A961" s="49"/>
      <c r="D961" s="49"/>
      <c r="E961" s="49"/>
      <c r="F961" s="49"/>
    </row>
    <row r="962" spans="1:6">
      <c r="A962" s="49"/>
      <c r="D962" s="49"/>
      <c r="E962" s="49"/>
      <c r="F962" s="49"/>
    </row>
    <row r="963" spans="1:6">
      <c r="A963" s="49"/>
      <c r="D963" s="49"/>
      <c r="E963" s="49"/>
      <c r="F963" s="49"/>
    </row>
    <row r="964" spans="1:6">
      <c r="A964" s="49"/>
      <c r="D964" s="49"/>
      <c r="E964" s="49"/>
      <c r="F964" s="49"/>
    </row>
    <row r="965" spans="1:6">
      <c r="A965" s="49"/>
      <c r="D965" s="49"/>
      <c r="E965" s="49"/>
      <c r="F965" s="49"/>
    </row>
    <row r="966" spans="1:6">
      <c r="A966" s="49"/>
      <c r="D966" s="49"/>
      <c r="E966" s="49"/>
      <c r="F966" s="49"/>
    </row>
    <row r="967" spans="1:6">
      <c r="A967" s="49"/>
      <c r="D967" s="49"/>
      <c r="E967" s="49"/>
      <c r="F967" s="49"/>
    </row>
    <row r="968" spans="1:6">
      <c r="A968" s="49"/>
      <c r="D968" s="49"/>
      <c r="E968" s="49"/>
      <c r="F968" s="49"/>
    </row>
    <row r="969" spans="1:6">
      <c r="A969" s="49"/>
      <c r="D969" s="49"/>
      <c r="E969" s="49"/>
      <c r="F969" s="49"/>
    </row>
    <row r="970" spans="1:6">
      <c r="A970" s="49"/>
      <c r="D970" s="49"/>
      <c r="E970" s="49"/>
      <c r="F970" s="49"/>
    </row>
    <row r="971" spans="1:6">
      <c r="A971" s="49"/>
      <c r="D971" s="49"/>
      <c r="E971" s="49"/>
      <c r="F971" s="49"/>
    </row>
    <row r="972" spans="1:6">
      <c r="A972" s="49"/>
      <c r="D972" s="49"/>
      <c r="E972" s="49"/>
      <c r="F972" s="49"/>
    </row>
    <row r="973" spans="1:6">
      <c r="A973" s="49"/>
      <c r="D973" s="49"/>
      <c r="E973" s="49"/>
      <c r="F973" s="49"/>
    </row>
    <row r="974" spans="1:6">
      <c r="A974" s="49"/>
      <c r="D974" s="49"/>
      <c r="E974" s="49"/>
      <c r="F974" s="49"/>
    </row>
    <row r="975" spans="1:6">
      <c r="A975" s="49"/>
      <c r="D975" s="49"/>
      <c r="E975" s="49"/>
      <c r="F975" s="49"/>
    </row>
    <row r="976" spans="1:6">
      <c r="A976" s="49"/>
      <c r="D976" s="49"/>
      <c r="E976" s="49"/>
      <c r="F976" s="49"/>
    </row>
    <row r="977" spans="1:6">
      <c r="A977" s="49"/>
      <c r="D977" s="49"/>
      <c r="E977" s="49"/>
      <c r="F977" s="49"/>
    </row>
    <row r="978" spans="1:6">
      <c r="A978" s="49"/>
      <c r="D978" s="49"/>
      <c r="E978" s="49"/>
      <c r="F978" s="49"/>
    </row>
    <row r="979" spans="1:6">
      <c r="A979" s="49"/>
      <c r="D979" s="49"/>
      <c r="E979" s="49"/>
      <c r="F979" s="49"/>
    </row>
    <row r="980" spans="1:6">
      <c r="A980" s="49"/>
      <c r="D980" s="49"/>
      <c r="E980" s="49"/>
      <c r="F980" s="49"/>
    </row>
    <row r="981" spans="1:6">
      <c r="A981" s="49"/>
      <c r="D981" s="49"/>
      <c r="E981" s="49"/>
      <c r="F981" s="49"/>
    </row>
    <row r="982" spans="1:6">
      <c r="A982" s="49"/>
      <c r="D982" s="49"/>
      <c r="E982" s="49"/>
      <c r="F982" s="49"/>
    </row>
    <row r="983" spans="1:6">
      <c r="A983" s="49"/>
      <c r="D983" s="49"/>
      <c r="E983" s="49"/>
      <c r="F983" s="49"/>
    </row>
    <row r="984" spans="1:6">
      <c r="A984" s="49"/>
      <c r="D984" s="49"/>
      <c r="E984" s="49"/>
      <c r="F984" s="49"/>
    </row>
    <row r="985" spans="1:6">
      <c r="A985" s="49"/>
      <c r="D985" s="49"/>
      <c r="E985" s="49"/>
      <c r="F985" s="49"/>
    </row>
    <row r="986" spans="1:6">
      <c r="A986" s="49"/>
      <c r="D986" s="49"/>
      <c r="E986" s="49"/>
      <c r="F986" s="49"/>
    </row>
    <row r="987" spans="1:6">
      <c r="A987" s="49"/>
      <c r="D987" s="49"/>
      <c r="E987" s="49"/>
      <c r="F987" s="49"/>
    </row>
    <row r="988" spans="1:6">
      <c r="A988" s="49"/>
      <c r="D988" s="49"/>
      <c r="E988" s="49"/>
      <c r="F988" s="49"/>
    </row>
    <row r="989" spans="1:6">
      <c r="A989" s="49"/>
      <c r="D989" s="49"/>
      <c r="E989" s="49"/>
      <c r="F989" s="49"/>
    </row>
    <row r="990" spans="1:6">
      <c r="A990" s="49"/>
      <c r="D990" s="49"/>
      <c r="E990" s="49"/>
      <c r="F990" s="49"/>
    </row>
    <row r="991" spans="1:6">
      <c r="A991" s="49"/>
      <c r="D991" s="49"/>
      <c r="E991" s="49"/>
      <c r="F991" s="49"/>
    </row>
    <row r="992" spans="1:6">
      <c r="A992" s="49"/>
      <c r="D992" s="49"/>
      <c r="E992" s="49"/>
      <c r="F992" s="49"/>
    </row>
    <row r="993" spans="1:6">
      <c r="A993" s="49"/>
      <c r="D993" s="49"/>
      <c r="E993" s="49"/>
      <c r="F993" s="49"/>
    </row>
    <row r="994" spans="1:6">
      <c r="A994" s="49"/>
      <c r="D994" s="49"/>
      <c r="E994" s="49"/>
      <c r="F994" s="49"/>
    </row>
    <row r="995" spans="1:6">
      <c r="A995" s="49"/>
      <c r="D995" s="49"/>
      <c r="E995" s="49"/>
      <c r="F995" s="49"/>
    </row>
    <row r="996" spans="1:6">
      <c r="A996" s="49"/>
      <c r="D996" s="49"/>
      <c r="E996" s="49"/>
      <c r="F996" s="49"/>
    </row>
    <row r="997" spans="1:6">
      <c r="A997" s="49"/>
      <c r="D997" s="49"/>
      <c r="E997" s="49"/>
      <c r="F997" s="49"/>
    </row>
    <row r="998" spans="1:6">
      <c r="A998" s="49"/>
      <c r="D998" s="49"/>
      <c r="E998" s="49"/>
      <c r="F998" s="49"/>
    </row>
    <row r="999" spans="1:6">
      <c r="A999" s="49"/>
      <c r="D999" s="49"/>
      <c r="E999" s="49"/>
      <c r="F999" s="49"/>
    </row>
    <row r="1000" spans="1:6">
      <c r="A1000" s="49"/>
      <c r="D1000" s="49"/>
      <c r="E1000" s="49"/>
      <c r="F1000" s="49"/>
    </row>
    <row r="1001" spans="1:6">
      <c r="A1001" s="49"/>
      <c r="D1001" s="49"/>
      <c r="E1001" s="49"/>
      <c r="F1001" s="49"/>
    </row>
    <row r="1002" spans="1:6">
      <c r="A1002" s="49"/>
      <c r="D1002" s="49"/>
      <c r="E1002" s="49"/>
      <c r="F1002" s="49"/>
    </row>
    <row r="1003" spans="1:6">
      <c r="A1003" s="49"/>
      <c r="D1003" s="49"/>
      <c r="E1003" s="49"/>
      <c r="F1003" s="49"/>
    </row>
    <row r="1004" spans="1:6">
      <c r="A1004" s="49"/>
      <c r="D1004" s="49"/>
      <c r="E1004" s="49"/>
      <c r="F1004" s="49"/>
    </row>
    <row r="1005" spans="1:6">
      <c r="A1005" s="49"/>
      <c r="D1005" s="49"/>
      <c r="E1005" s="49"/>
      <c r="F1005" s="49"/>
    </row>
  </sheetData>
  <hyperlinks>
    <hyperlink ref="J3" r:id="rId1"/>
    <hyperlink ref="J4" r:id="rId2"/>
    <hyperlink ref="J5" r:id="rId3"/>
    <hyperlink ref="J6" r:id="rId4"/>
    <hyperlink ref="J7" r:id="rId5"/>
    <hyperlink ref="J9" r:id="rId6"/>
    <hyperlink ref="J12" r:id="rId7"/>
    <hyperlink ref="J13" r:id="rId8"/>
    <hyperlink ref="J14" r:id="rId9"/>
    <hyperlink ref="J15" r:id="rId10"/>
    <hyperlink ref="J16" r:id="rId11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A2" sqref="A2"/>
    </sheetView>
  </sheetViews>
  <sheetFormatPr defaultRowHeight="12.75"/>
  <cols>
    <col min="1" max="1" width="32.7109375" customWidth="1"/>
    <col min="2" max="2" width="67.28515625" customWidth="1"/>
  </cols>
  <sheetData>
    <row r="1" spans="1:2">
      <c r="A1" s="139" t="s">
        <v>5</v>
      </c>
      <c r="B1" s="139" t="s">
        <v>6</v>
      </c>
    </row>
    <row r="2" spans="1:2">
      <c r="A2" s="139" t="s">
        <v>2255</v>
      </c>
      <c r="B2" t="s">
        <v>2256</v>
      </c>
    </row>
    <row r="3" spans="1:2">
      <c r="A3" t="s">
        <v>2257</v>
      </c>
      <c r="B3" t="s">
        <v>560</v>
      </c>
    </row>
    <row r="4" spans="1:2">
      <c r="A4" t="s">
        <v>2258</v>
      </c>
      <c r="B4" t="s">
        <v>2259</v>
      </c>
    </row>
    <row r="5" spans="1:2">
      <c r="A5" t="s">
        <v>2260</v>
      </c>
      <c r="B5" t="s">
        <v>2261</v>
      </c>
    </row>
    <row r="6" spans="1:2">
      <c r="A6" t="s">
        <v>2262</v>
      </c>
      <c r="B6" t="s">
        <v>2263</v>
      </c>
    </row>
    <row r="7" spans="1:2">
      <c r="A7" t="s">
        <v>2264</v>
      </c>
      <c r="B7" t="s">
        <v>2265</v>
      </c>
    </row>
    <row r="8" spans="1:2">
      <c r="A8" t="s">
        <v>2266</v>
      </c>
      <c r="B8" t="s">
        <v>575</v>
      </c>
    </row>
    <row r="9" spans="1:2">
      <c r="A9" t="s">
        <v>2267</v>
      </c>
      <c r="B9" t="s">
        <v>2268</v>
      </c>
    </row>
    <row r="10" spans="1:2">
      <c r="A10" t="s">
        <v>2269</v>
      </c>
      <c r="B10" t="s">
        <v>580</v>
      </c>
    </row>
    <row r="11" spans="1:2">
      <c r="A11" t="s">
        <v>2270</v>
      </c>
      <c r="B11" t="s">
        <v>583</v>
      </c>
    </row>
    <row r="12" spans="1:2">
      <c r="A12" t="s">
        <v>2271</v>
      </c>
      <c r="B12" t="s">
        <v>2272</v>
      </c>
    </row>
    <row r="13" spans="1:2">
      <c r="A13" t="s">
        <v>2273</v>
      </c>
      <c r="B13" t="s">
        <v>2274</v>
      </c>
    </row>
    <row r="14" spans="1:2">
      <c r="A14" t="s">
        <v>2275</v>
      </c>
      <c r="B14" t="s">
        <v>2276</v>
      </c>
    </row>
    <row r="15" spans="1:2">
      <c r="A15" t="s">
        <v>2277</v>
      </c>
      <c r="B15" t="s">
        <v>2278</v>
      </c>
    </row>
    <row r="16" spans="1:2">
      <c r="A16" t="s">
        <v>2279</v>
      </c>
      <c r="B16" t="s">
        <v>2280</v>
      </c>
    </row>
    <row r="17" spans="1:2">
      <c r="A17" t="s">
        <v>2281</v>
      </c>
      <c r="B17" t="s">
        <v>2282</v>
      </c>
    </row>
    <row r="18" spans="1:2">
      <c r="A18" t="s">
        <v>2283</v>
      </c>
      <c r="B18" t="s">
        <v>597</v>
      </c>
    </row>
    <row r="19" spans="1:2">
      <c r="A19" t="s">
        <v>2284</v>
      </c>
      <c r="B19" t="s">
        <v>2285</v>
      </c>
    </row>
    <row r="20" spans="1:2">
      <c r="A20" t="s">
        <v>2286</v>
      </c>
      <c r="B20" t="s">
        <v>2287</v>
      </c>
    </row>
    <row r="21" spans="1:2">
      <c r="A21" t="s">
        <v>2288</v>
      </c>
      <c r="B21" t="s">
        <v>2289</v>
      </c>
    </row>
    <row r="22" spans="1:2">
      <c r="A22" t="s">
        <v>2290</v>
      </c>
      <c r="B22" t="s">
        <v>2291</v>
      </c>
    </row>
    <row r="23" spans="1:2">
      <c r="A23" t="s">
        <v>2292</v>
      </c>
      <c r="B23" t="s">
        <v>2293</v>
      </c>
    </row>
    <row r="24" spans="1:2">
      <c r="A24" t="s">
        <v>2294</v>
      </c>
      <c r="B24" t="s">
        <v>610</v>
      </c>
    </row>
    <row r="25" spans="1:2">
      <c r="A25" t="s">
        <v>2295</v>
      </c>
      <c r="B25" t="s">
        <v>2296</v>
      </c>
    </row>
    <row r="26" spans="1:2">
      <c r="A26" t="s">
        <v>2297</v>
      </c>
      <c r="B26" t="s">
        <v>2298</v>
      </c>
    </row>
    <row r="27" spans="1:2">
      <c r="A27" t="s">
        <v>2299</v>
      </c>
      <c r="B27" t="s">
        <v>2300</v>
      </c>
    </row>
    <row r="28" spans="1:2">
      <c r="A28" t="s">
        <v>2301</v>
      </c>
      <c r="B28" t="s">
        <v>2302</v>
      </c>
    </row>
    <row r="29" spans="1:2">
      <c r="A29" t="s">
        <v>2303</v>
      </c>
      <c r="B29" t="s">
        <v>2304</v>
      </c>
    </row>
    <row r="30" spans="1:2">
      <c r="A30" t="s">
        <v>2305</v>
      </c>
      <c r="B30" t="s">
        <v>2306</v>
      </c>
    </row>
    <row r="31" spans="1:2">
      <c r="A31" t="s">
        <v>2307</v>
      </c>
      <c r="B31" t="s">
        <v>2308</v>
      </c>
    </row>
    <row r="32" spans="1:2">
      <c r="A32" t="s">
        <v>2309</v>
      </c>
      <c r="B32" t="s">
        <v>2310</v>
      </c>
    </row>
    <row r="33" spans="1:5">
      <c r="A33" t="s">
        <v>2311</v>
      </c>
      <c r="B33" t="s">
        <v>2312</v>
      </c>
    </row>
    <row r="34" spans="1:5">
      <c r="A34" t="s">
        <v>2313</v>
      </c>
      <c r="B34" t="s">
        <v>2314</v>
      </c>
    </row>
    <row r="35" spans="1:5">
      <c r="A35" t="s">
        <v>2315</v>
      </c>
      <c r="B35" t="s">
        <v>2316</v>
      </c>
    </row>
    <row r="36" spans="1:5">
      <c r="A36" t="s">
        <v>2317</v>
      </c>
      <c r="B36" t="s">
        <v>2318</v>
      </c>
    </row>
    <row r="37" spans="1:5">
      <c r="A37" t="s">
        <v>2319</v>
      </c>
      <c r="B37" t="s">
        <v>2320</v>
      </c>
    </row>
    <row r="38" spans="1:5">
      <c r="A38" t="s">
        <v>2321</v>
      </c>
      <c r="B38" t="s">
        <v>2322</v>
      </c>
    </row>
    <row r="39" spans="1:5">
      <c r="A39" t="s">
        <v>2323</v>
      </c>
      <c r="B39" t="s">
        <v>2324</v>
      </c>
    </row>
    <row r="42" spans="1:5">
      <c r="E42" s="13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Disciplinas</vt:lpstr>
      <vt:lpstr>Pré-requisitos</vt:lpstr>
      <vt:lpstr>Mapeamento para Departamentos</vt:lpstr>
      <vt:lpstr>Conteúdos Essencial 1 Não Aloca</vt:lpstr>
      <vt:lpstr>Conteúdos Consolidados</vt:lpstr>
      <vt:lpstr>Habilidades Consolidadas</vt:lpstr>
      <vt:lpstr>Conteúdos IntrodutóriosTransver</vt:lpstr>
      <vt:lpstr>Áreas</vt:lpstr>
      <vt:lpstr>Disciplinas-old</vt:lpstr>
      <vt:lpstr>Disciplinas-Obrigatórias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</dc:creator>
  <cp:lastModifiedBy>Anderson</cp:lastModifiedBy>
  <dcterms:created xsi:type="dcterms:W3CDTF">2026-07-02T10:25:35Z</dcterms:created>
  <dcterms:modified xsi:type="dcterms:W3CDTF">2026-07-02T14:32:17Z</dcterms:modified>
</cp:coreProperties>
</file>